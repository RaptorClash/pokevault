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Gen 1" sheetId="2" r:id="rId6"/>
    <sheet state="visible" name="Gen 2" sheetId="3" r:id="rId7"/>
    <sheet state="visible" name="Gen 3" sheetId="4" r:id="rId8"/>
    <sheet state="visible" name="Gen 4" sheetId="5" r:id="rId9"/>
    <sheet state="visible" name="Gen 5" sheetId="6" r:id="rId10"/>
    <sheet state="visible" name="Gen 6" sheetId="7" r:id="rId11"/>
    <sheet state="visible" name="Gen 7" sheetId="8" r:id="rId12"/>
    <sheet state="visible" name="Gen 8" sheetId="9" r:id="rId13"/>
    <sheet state="visible" name="Gen 9" sheetId="10" r:id="rId14"/>
    <sheet state="visible" name="Vivillon" sheetId="11" r:id="rId15"/>
    <sheet state="visible" name="Alcremie"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5">
      <text>
        <t xml:space="preserve">Requires Smeargle cloning glitch+breeding</t>
      </text>
    </comment>
    <comment authorId="0" ref="J104">
      <text>
        <t xml:space="preserve">Requires Smeargle cloning glitch+breeding</t>
      </text>
    </comment>
    <comment authorId="0" ref="J102">
      <text>
        <t xml:space="preserve">Requires Smeargle cloning glitch+breeding</t>
      </text>
    </comment>
  </commentList>
</comments>
</file>

<file path=xl/sharedStrings.xml><?xml version="1.0" encoding="utf-8"?>
<sst xmlns="http://schemas.openxmlformats.org/spreadsheetml/2006/main" count="2470" uniqueCount="2279">
  <si>
    <t>Legal Matching Pokéballs 2.1</t>
  </si>
  <si>
    <t>Alternative:
Unique Poké Balls by Type</t>
  </si>
  <si>
    <t>0001</t>
  </si>
  <si>
    <t>Bulbasaur</t>
  </si>
  <si>
    <t>0002</t>
  </si>
  <si>
    <t>Notes</t>
  </si>
  <si>
    <t>Ivysaur</t>
  </si>
  <si>
    <t>0003</t>
  </si>
  <si>
    <t>0252</t>
  </si>
  <si>
    <t>Venusaur*</t>
  </si>
  <si>
    <t>0152</t>
  </si>
  <si>
    <t>0004</t>
  </si>
  <si>
    <t>Treecko</t>
  </si>
  <si>
    <t>Charmander</t>
  </si>
  <si>
    <t>Chikorita</t>
  </si>
  <si>
    <t>0005</t>
  </si>
  <si>
    <t>0253</t>
  </si>
  <si>
    <t>Charmeleon</t>
  </si>
  <si>
    <t>0153</t>
  </si>
  <si>
    <t>0006</t>
  </si>
  <si>
    <t>Grovyle</t>
  </si>
  <si>
    <t>Charizard</t>
  </si>
  <si>
    <t>Bayleef</t>
  </si>
  <si>
    <t>0254</t>
  </si>
  <si>
    <t>0007</t>
  </si>
  <si>
    <t>0154</t>
  </si>
  <si>
    <t>Sceptile</t>
  </si>
  <si>
    <t>Squirtle</t>
  </si>
  <si>
    <t>0008</t>
  </si>
  <si>
    <t>0255</t>
  </si>
  <si>
    <t>Wartortle</t>
  </si>
  <si>
    <t>Meganium*</t>
  </si>
  <si>
    <t>Torchic*</t>
  </si>
  <si>
    <t>0256</t>
  </si>
  <si>
    <t>0155</t>
  </si>
  <si>
    <t>Combusken*</t>
  </si>
  <si>
    <t>Cyndaquil</t>
  </si>
  <si>
    <t>0257</t>
  </si>
  <si>
    <t>0156</t>
  </si>
  <si>
    <t>Blaziken*</t>
  </si>
  <si>
    <t>Quilava</t>
  </si>
  <si>
    <t>0258</t>
  </si>
  <si>
    <t>0157</t>
  </si>
  <si>
    <t>Mudkip</t>
  </si>
  <si>
    <t>Typhlosion</t>
  </si>
  <si>
    <t>0259</t>
  </si>
  <si>
    <t>Marshtomp</t>
  </si>
  <si>
    <t>Regular Pokémon and their shiny variants are shown with up to 3 matching Pokéballs to their left. Balls are matched by color or theme (e.g. Cresselia in a Moon Ball). All Pokéball combinations provided are currently legal as of Gen 9, though some are difficult to obtain (e.g. Apricorn ball Pokémon from BDSP due to the Apricorn balls only being a preorder bonus). Because of that, care has been taken to offer at least one non-limited ball type for each Pokémon.
Pokémon are listed in National Pokédex order and grouped by Generation. New forms of older Pokémon that are considered the same species are listed in the generation the original Pokémon debuted in. (e.g. Alolan Raichu is listed in Gen 1.) Only forms that remain outside of battle are shown, as these are the forms that are initially sent out in battle. Pokémon marked with an asterisk have minor gender differences (introduced in Gen 4).
I have also included the Strange Ball and Cherish Ball for sake of completeness. The Strange Ball is automatically assigned to Pokémon originating from Pokémon Legends: Arceus when they are migrated to another game, and the Cherish Ball is only available for event distributions.</t>
  </si>
  <si>
    <t>Typhlosion (Hisui)</t>
  </si>
  <si>
    <t>0158</t>
  </si>
  <si>
    <t>Totodile</t>
  </si>
  <si>
    <t>Examples</t>
  </si>
  <si>
    <t>0029</t>
  </si>
  <si>
    <t>Nidoran♀</t>
  </si>
  <si>
    <t>0151</t>
  </si>
  <si>
    <t>Mew</t>
  </si>
  <si>
    <t>0009</t>
  </si>
  <si>
    <t>Blastoise</t>
  </si>
  <si>
    <t>0010</t>
  </si>
  <si>
    <t>Caterpie</t>
  </si>
  <si>
    <t>0011</t>
  </si>
  <si>
    <t>Metapod</t>
  </si>
  <si>
    <t>0012</t>
  </si>
  <si>
    <t>Butterfree*</t>
  </si>
  <si>
    <t>0013</t>
  </si>
  <si>
    <t>Weedle</t>
  </si>
  <si>
    <t>0014</t>
  </si>
  <si>
    <t>Kakuna</t>
  </si>
  <si>
    <t>0015</t>
  </si>
  <si>
    <t>Beedrill</t>
  </si>
  <si>
    <t>0016</t>
  </si>
  <si>
    <t>Pidgey</t>
  </si>
  <si>
    <t>0260</t>
  </si>
  <si>
    <t>Swampert</t>
  </si>
  <si>
    <t>0261</t>
  </si>
  <si>
    <t>Poochyena</t>
  </si>
  <si>
    <t>0262</t>
  </si>
  <si>
    <t>Mightyena</t>
  </si>
  <si>
    <t>0263</t>
  </si>
  <si>
    <t>Zigzagoon</t>
  </si>
  <si>
    <t>Zigzagoon (Galar)</t>
  </si>
  <si>
    <t>0159</t>
  </si>
  <si>
    <t>0264</t>
  </si>
  <si>
    <t>Croconaw</t>
  </si>
  <si>
    <t>Linoone</t>
  </si>
  <si>
    <t>0160</t>
  </si>
  <si>
    <t>Linoone (Galar)</t>
  </si>
  <si>
    <t>Feraligatr</t>
  </si>
  <si>
    <t>0265</t>
  </si>
  <si>
    <t>0161</t>
  </si>
  <si>
    <t>Wurmple</t>
  </si>
  <si>
    <t>Sentret</t>
  </si>
  <si>
    <t>0162</t>
  </si>
  <si>
    <t>Furret</t>
  </si>
  <si>
    <t>0163</t>
  </si>
  <si>
    <t>Hoothoot</t>
  </si>
  <si>
    <t>0164</t>
  </si>
  <si>
    <t>Noctowl</t>
  </si>
  <si>
    <t>0165</t>
  </si>
  <si>
    <t>Ledyba*</t>
  </si>
  <si>
    <t>0166</t>
  </si>
  <si>
    <t>Ledian*</t>
  </si>
  <si>
    <t>Pokéball Key:</t>
  </si>
  <si>
    <t>Poké Ball</t>
  </si>
  <si>
    <t>Heal Ball</t>
  </si>
  <si>
    <t>Timer Ball</t>
  </si>
  <si>
    <t>Fast Ball</t>
  </si>
  <si>
    <t>Love Ball</t>
  </si>
  <si>
    <t>Great Ball</t>
  </si>
  <si>
    <t>Net Ball</t>
  </si>
  <si>
    <t>Quick Ball</t>
  </si>
  <si>
    <t>Friend Ball</t>
  </si>
  <si>
    <t>Moon Ball</t>
  </si>
  <si>
    <t>Ultra Ball</t>
  </si>
  <si>
    <t>Nest Ball</t>
  </si>
  <si>
    <t>Repeat Ball</t>
  </si>
  <si>
    <t>Lure Ball</t>
  </si>
  <si>
    <t>Dream Ball</t>
  </si>
  <si>
    <t>0266</t>
  </si>
  <si>
    <t>Silcoon</t>
  </si>
  <si>
    <t>0267</t>
  </si>
  <si>
    <t>Beautifly*</t>
  </si>
  <si>
    <t>0268</t>
  </si>
  <si>
    <t>Cascoon</t>
  </si>
  <si>
    <t>0269</t>
  </si>
  <si>
    <t>Dustox*</t>
  </si>
  <si>
    <t>0270</t>
  </si>
  <si>
    <t>Lotad</t>
  </si>
  <si>
    <t>0271</t>
  </si>
  <si>
    <t>Lombre</t>
  </si>
  <si>
    <t>0272</t>
  </si>
  <si>
    <t>Ludicolo*</t>
  </si>
  <si>
    <t>0273</t>
  </si>
  <si>
    <t>Seedot</t>
  </si>
  <si>
    <t>Master Ball</t>
  </si>
  <si>
    <t>Dive Ball</t>
  </si>
  <si>
    <t>Luxury Ball</t>
  </si>
  <si>
    <t>Level Ball</t>
  </si>
  <si>
    <t>Beast Ball</t>
  </si>
  <si>
    <t>0167</t>
  </si>
  <si>
    <t>Spinarak</t>
  </si>
  <si>
    <t>0168</t>
  </si>
  <si>
    <t>Ariados</t>
  </si>
  <si>
    <t>0169</t>
  </si>
  <si>
    <t>Crobat</t>
  </si>
  <si>
    <t>0170</t>
  </si>
  <si>
    <t>Chinchou</t>
  </si>
  <si>
    <t>0171</t>
  </si>
  <si>
    <t>Premier Ball</t>
  </si>
  <si>
    <t>Lanturn</t>
  </si>
  <si>
    <t>0172</t>
  </si>
  <si>
    <t>0017</t>
  </si>
  <si>
    <t>Pichu</t>
  </si>
  <si>
    <t>0173</t>
  </si>
  <si>
    <t>Pidgeotto</t>
  </si>
  <si>
    <t>Cleffa</t>
  </si>
  <si>
    <t>0018</t>
  </si>
  <si>
    <t>Dusk Ball</t>
  </si>
  <si>
    <t>0174</t>
  </si>
  <si>
    <t>Igglybuff</t>
  </si>
  <si>
    <t>Pidgeot</t>
  </si>
  <si>
    <t>0019</t>
  </si>
  <si>
    <t>Rattata*</t>
  </si>
  <si>
    <t>Safari Ball</t>
  </si>
  <si>
    <t>Rattata (Alola)</t>
  </si>
  <si>
    <t>0020</t>
  </si>
  <si>
    <t>Raticate*</t>
  </si>
  <si>
    <t>Raticate (Alola)</t>
  </si>
  <si>
    <t>0021</t>
  </si>
  <si>
    <t>Heavy Ball</t>
  </si>
  <si>
    <t>Spearow</t>
  </si>
  <si>
    <t>0022</t>
  </si>
  <si>
    <t>Fearow</t>
  </si>
  <si>
    <t>Sport Ball</t>
  </si>
  <si>
    <t>Strange Ball</t>
  </si>
  <si>
    <t>Cherish Ball</t>
  </si>
  <si>
    <t>Use the numbered tabs below to find the perfect ball for your Pokémon!</t>
  </si>
  <si>
    <r>
      <rPr>
        <rFont val="Trebuchet MS"/>
        <sz val="10.0"/>
      </rPr>
      <t xml:space="preserve">Pokémon Sprites hosted by </t>
    </r>
    <r>
      <rPr>
        <rFont val="Trebuchet MS"/>
        <color rgb="FF1155CC"/>
        <sz val="10.0"/>
        <u/>
      </rPr>
      <t>Pokejungle.net</t>
    </r>
    <r>
      <rPr>
        <rFont val="Trebuchet MS"/>
        <sz val="10.0"/>
      </rPr>
      <t xml:space="preserve"> (Unavailable shinies from </t>
    </r>
    <r>
      <rPr>
        <rFont val="Trebuchet MS"/>
        <color rgb="FF1155CC"/>
        <sz val="10.0"/>
        <u/>
      </rPr>
      <t>Pokemondb.net</t>
    </r>
    <r>
      <rPr>
        <rFont val="Trebuchet MS"/>
        <sz val="10.0"/>
      </rPr>
      <t xml:space="preserve">) </t>
    </r>
  </si>
  <si>
    <t>0274</t>
  </si>
  <si>
    <t>Nuzleaf*</t>
  </si>
  <si>
    <t>0275</t>
  </si>
  <si>
    <t>Shiftry*</t>
  </si>
  <si>
    <t>0276</t>
  </si>
  <si>
    <t>Taillow</t>
  </si>
  <si>
    <t>0277</t>
  </si>
  <si>
    <t>Swellow</t>
  </si>
  <si>
    <t>0278</t>
  </si>
  <si>
    <t>Wingull</t>
  </si>
  <si>
    <t>0279</t>
  </si>
  <si>
    <t>Pelipper</t>
  </si>
  <si>
    <t>0280</t>
  </si>
  <si>
    <t>Ralts</t>
  </si>
  <si>
    <t>0281</t>
  </si>
  <si>
    <t>Kirlia</t>
  </si>
  <si>
    <t xml:space="preserve">Original Spreadsheet design by: reddit.com/user/adamlutz  </t>
  </si>
  <si>
    <t>0023</t>
  </si>
  <si>
    <t>Ekans</t>
  </si>
  <si>
    <t>0024</t>
  </si>
  <si>
    <t>Arbok</t>
  </si>
  <si>
    <t>0025</t>
  </si>
  <si>
    <t>0175</t>
  </si>
  <si>
    <t>Pikachu*</t>
  </si>
  <si>
    <t>Togepi</t>
  </si>
  <si>
    <t>0026</t>
  </si>
  <si>
    <t>Raichu*</t>
  </si>
  <si>
    <t>0176</t>
  </si>
  <si>
    <t>Togetic</t>
  </si>
  <si>
    <t>Raichu (Alola)</t>
  </si>
  <si>
    <t>0177</t>
  </si>
  <si>
    <t>0027</t>
  </si>
  <si>
    <t>Natu</t>
  </si>
  <si>
    <t>0178</t>
  </si>
  <si>
    <t>Sandshrew</t>
  </si>
  <si>
    <t>Xatu*</t>
  </si>
  <si>
    <t>Sandshrew (Alola)</t>
  </si>
  <si>
    <t>0179</t>
  </si>
  <si>
    <t>0028</t>
  </si>
  <si>
    <t>Mareep</t>
  </si>
  <si>
    <t>Sandslash</t>
  </si>
  <si>
    <t>0180</t>
  </si>
  <si>
    <t>Flaaffy</t>
  </si>
  <si>
    <t>0181</t>
  </si>
  <si>
    <t>Ampharos</t>
  </si>
  <si>
    <t>0182</t>
  </si>
  <si>
    <t>Bellossom</t>
  </si>
  <si>
    <t>0387</t>
  </si>
  <si>
    <t>Turtwig</t>
  </si>
  <si>
    <t>0388</t>
  </si>
  <si>
    <t>Grotle</t>
  </si>
  <si>
    <t>0389</t>
  </si>
  <si>
    <t>Torterra</t>
  </si>
  <si>
    <t>0390</t>
  </si>
  <si>
    <t>Chimchar</t>
  </si>
  <si>
    <t>0391</t>
  </si>
  <si>
    <t>Monferno</t>
  </si>
  <si>
    <t>0392</t>
  </si>
  <si>
    <t>Infernape</t>
  </si>
  <si>
    <t>0393</t>
  </si>
  <si>
    <t>Piplup</t>
  </si>
  <si>
    <t>0394</t>
  </si>
  <si>
    <t>Prinplup</t>
  </si>
  <si>
    <t>0282</t>
  </si>
  <si>
    <t>Gardevoir</t>
  </si>
  <si>
    <t>0283</t>
  </si>
  <si>
    <t>Surskit</t>
  </si>
  <si>
    <t>0284</t>
  </si>
  <si>
    <t>Masquerain</t>
  </si>
  <si>
    <t>0285</t>
  </si>
  <si>
    <t>Shroomish</t>
  </si>
  <si>
    <t>0286</t>
  </si>
  <si>
    <t>Breloom</t>
  </si>
  <si>
    <t>0287</t>
  </si>
  <si>
    <t>Slakoth</t>
  </si>
  <si>
    <t>0288</t>
  </si>
  <si>
    <t>Vigoroth</t>
  </si>
  <si>
    <t>0289</t>
  </si>
  <si>
    <t>Slaking</t>
  </si>
  <si>
    <t>Sandslash (Alola)</t>
  </si>
  <si>
    <t>0030</t>
  </si>
  <si>
    <t>Nidorina</t>
  </si>
  <si>
    <t>0031</t>
  </si>
  <si>
    <t>Nidoqueen</t>
  </si>
  <si>
    <t>0032</t>
  </si>
  <si>
    <t>Nidoran♂</t>
  </si>
  <si>
    <t>0033</t>
  </si>
  <si>
    <t>Nidorino</t>
  </si>
  <si>
    <t>0034</t>
  </si>
  <si>
    <t>Nidoking</t>
  </si>
  <si>
    <t>0035</t>
  </si>
  <si>
    <t>Clefairy</t>
  </si>
  <si>
    <t>0183</t>
  </si>
  <si>
    <t>Marill</t>
  </si>
  <si>
    <t>0184</t>
  </si>
  <si>
    <t>Azumarill</t>
  </si>
  <si>
    <t>0185</t>
  </si>
  <si>
    <t>Sudowoodo*</t>
  </si>
  <si>
    <t>0186</t>
  </si>
  <si>
    <t>Politoed*</t>
  </si>
  <si>
    <t>0187</t>
  </si>
  <si>
    <t>Hoppip</t>
  </si>
  <si>
    <t>0188</t>
  </si>
  <si>
    <t>Skiploom</t>
  </si>
  <si>
    <t>0189</t>
  </si>
  <si>
    <t>Jumpluff</t>
  </si>
  <si>
    <t>0190</t>
  </si>
  <si>
    <t>Aipom*</t>
  </si>
  <si>
    <t>0290</t>
  </si>
  <si>
    <t>Nincada</t>
  </si>
  <si>
    <t>0291</t>
  </si>
  <si>
    <t>Ninjask</t>
  </si>
  <si>
    <t>0292</t>
  </si>
  <si>
    <t>Shedinja</t>
  </si>
  <si>
    <t>0293</t>
  </si>
  <si>
    <t>Whismur</t>
  </si>
  <si>
    <t>0294</t>
  </si>
  <si>
    <t>Loudred</t>
  </si>
  <si>
    <t>0295</t>
  </si>
  <si>
    <t>Exploud</t>
  </si>
  <si>
    <t>0296</t>
  </si>
  <si>
    <t>Makuhita</t>
  </si>
  <si>
    <t>0297</t>
  </si>
  <si>
    <t>Hariyama</t>
  </si>
  <si>
    <t>0395</t>
  </si>
  <si>
    <t>Empoleon</t>
  </si>
  <si>
    <t>0396</t>
  </si>
  <si>
    <t>Starly*</t>
  </si>
  <si>
    <t>0397</t>
  </si>
  <si>
    <t>Staravia*</t>
  </si>
  <si>
    <t>0398</t>
  </si>
  <si>
    <t>Staraptor*</t>
  </si>
  <si>
    <t>0399</t>
  </si>
  <si>
    <t>Bidoof*</t>
  </si>
  <si>
    <t>0400</t>
  </si>
  <si>
    <t>Bibarel*</t>
  </si>
  <si>
    <t>0401</t>
  </si>
  <si>
    <t>Kricketot*</t>
  </si>
  <si>
    <t>0402</t>
  </si>
  <si>
    <t>Kricketune*</t>
  </si>
  <si>
    <t>0036</t>
  </si>
  <si>
    <t>Clefable</t>
  </si>
  <si>
    <t>0037</t>
  </si>
  <si>
    <t>Vulpix</t>
  </si>
  <si>
    <t>Vulpix (Alola)</t>
  </si>
  <si>
    <t>0038</t>
  </si>
  <si>
    <t>Ninetales</t>
  </si>
  <si>
    <t>Ninetales (Alola)</t>
  </si>
  <si>
    <t>0039</t>
  </si>
  <si>
    <t>Jigglypuff</t>
  </si>
  <si>
    <t>0040</t>
  </si>
  <si>
    <t>Wigglytuff</t>
  </si>
  <si>
    <t>0041</t>
  </si>
  <si>
    <t>Zubat*</t>
  </si>
  <si>
    <t>0298</t>
  </si>
  <si>
    <t>Azurill</t>
  </si>
  <si>
    <t>0299</t>
  </si>
  <si>
    <t>Nosepass</t>
  </si>
  <si>
    <t>0300</t>
  </si>
  <si>
    <t>Skitty</t>
  </si>
  <si>
    <t>0301</t>
  </si>
  <si>
    <t>Delcatty</t>
  </si>
  <si>
    <t>0302</t>
  </si>
  <si>
    <t>Sableye</t>
  </si>
  <si>
    <t>0303</t>
  </si>
  <si>
    <t>Mawile</t>
  </si>
  <si>
    <t>0304</t>
  </si>
  <si>
    <t>Aron</t>
  </si>
  <si>
    <t>0305</t>
  </si>
  <si>
    <t>Lairon</t>
  </si>
  <si>
    <t>0191</t>
  </si>
  <si>
    <t>Sunkern</t>
  </si>
  <si>
    <t>0192</t>
  </si>
  <si>
    <t>Sunflora</t>
  </si>
  <si>
    <t>0193</t>
  </si>
  <si>
    <t>Yanma</t>
  </si>
  <si>
    <t>0194</t>
  </si>
  <si>
    <t>Wooper*</t>
  </si>
  <si>
    <t>Wooper (Paldea)</t>
  </si>
  <si>
    <t>0195</t>
  </si>
  <si>
    <t>Quagsire*</t>
  </si>
  <si>
    <t>0196</t>
  </si>
  <si>
    <t>Espeon</t>
  </si>
  <si>
    <t>0197</t>
  </si>
  <si>
    <t>Umbreon</t>
  </si>
  <si>
    <t>0403</t>
  </si>
  <si>
    <t>Shinx*</t>
  </si>
  <si>
    <t>0404</t>
  </si>
  <si>
    <t>Luxio*</t>
  </si>
  <si>
    <t>0405</t>
  </si>
  <si>
    <t>Luxray*</t>
  </si>
  <si>
    <t>0406</t>
  </si>
  <si>
    <t>Budew</t>
  </si>
  <si>
    <t>0407</t>
  </si>
  <si>
    <t>Roserade*</t>
  </si>
  <si>
    <t>0408</t>
  </si>
  <si>
    <t>Cranidos</t>
  </si>
  <si>
    <t>0409</t>
  </si>
  <si>
    <t>Rampardos</t>
  </si>
  <si>
    <t>0410</t>
  </si>
  <si>
    <t>Shieldon</t>
  </si>
  <si>
    <t>0042</t>
  </si>
  <si>
    <t>Golbat*</t>
  </si>
  <si>
    <t>0043</t>
  </si>
  <si>
    <t>Oddish</t>
  </si>
  <si>
    <t>0044</t>
  </si>
  <si>
    <t>Gloom*</t>
  </si>
  <si>
    <t>0045</t>
  </si>
  <si>
    <t>Vileplume*</t>
  </si>
  <si>
    <t>0046</t>
  </si>
  <si>
    <t>Paras</t>
  </si>
  <si>
    <t>0047</t>
  </si>
  <si>
    <t>Parasect</t>
  </si>
  <si>
    <t>0048</t>
  </si>
  <si>
    <t>Venonat</t>
  </si>
  <si>
    <t>0049</t>
  </si>
  <si>
    <t>Venomoth</t>
  </si>
  <si>
    <t>0306</t>
  </si>
  <si>
    <t>Aggron</t>
  </si>
  <si>
    <t>0307</t>
  </si>
  <si>
    <t>Meditite*</t>
  </si>
  <si>
    <t>0308</t>
  </si>
  <si>
    <t>Medicham*</t>
  </si>
  <si>
    <t>0309</t>
  </si>
  <si>
    <t>Electrike</t>
  </si>
  <si>
    <t>0310</t>
  </si>
  <si>
    <t>Manectric</t>
  </si>
  <si>
    <t>0311</t>
  </si>
  <si>
    <t>Plusle</t>
  </si>
  <si>
    <t>0312</t>
  </si>
  <si>
    <t>Minun</t>
  </si>
  <si>
    <t>0313</t>
  </si>
  <si>
    <t>Volbeat</t>
  </si>
  <si>
    <t>0198</t>
  </si>
  <si>
    <t>Murkrow*</t>
  </si>
  <si>
    <t>0199</t>
  </si>
  <si>
    <t>Slowking</t>
  </si>
  <si>
    <t>Slowking (Galar)</t>
  </si>
  <si>
    <t>0200</t>
  </si>
  <si>
    <t>Misdreavus</t>
  </si>
  <si>
    <t>0201</t>
  </si>
  <si>
    <t>Unown (All)</t>
  </si>
  <si>
    <t>0202</t>
  </si>
  <si>
    <t>Wobbuffet*</t>
  </si>
  <si>
    <t>0203</t>
  </si>
  <si>
    <t>Girafarig*</t>
  </si>
  <si>
    <t>0204</t>
  </si>
  <si>
    <t>Pineco</t>
  </si>
  <si>
    <t>0411</t>
  </si>
  <si>
    <t>Bastiodon</t>
  </si>
  <si>
    <t>0412</t>
  </si>
  <si>
    <t>Burmy (Plant)</t>
  </si>
  <si>
    <t>Burmy (Sandy)</t>
  </si>
  <si>
    <t>Burmy (Trash)</t>
  </si>
  <si>
    <t>0413</t>
  </si>
  <si>
    <t>Wormadam (Plant)</t>
  </si>
  <si>
    <t>Wormadam (Sandy)</t>
  </si>
  <si>
    <t>Wormadam (Trash)</t>
  </si>
  <si>
    <t>0414</t>
  </si>
  <si>
    <t>Mothim</t>
  </si>
  <si>
    <t>0050</t>
  </si>
  <si>
    <t>Diglett</t>
  </si>
  <si>
    <t>Diglett (Alola)</t>
  </si>
  <si>
    <t>0051</t>
  </si>
  <si>
    <t>Dugtrio</t>
  </si>
  <si>
    <t>Dugtrio (Alola)</t>
  </si>
  <si>
    <t>0052</t>
  </si>
  <si>
    <t>Meowth</t>
  </si>
  <si>
    <t>Meowth (Alola)</t>
  </si>
  <si>
    <t>Meowth (Galar)</t>
  </si>
  <si>
    <t>0053</t>
  </si>
  <si>
    <t>Persian</t>
  </si>
  <si>
    <t>0314</t>
  </si>
  <si>
    <t>Illumise</t>
  </si>
  <si>
    <t>0315</t>
  </si>
  <si>
    <t>Roselia*</t>
  </si>
  <si>
    <t>0316</t>
  </si>
  <si>
    <t>Gulpin*</t>
  </si>
  <si>
    <t>0317</t>
  </si>
  <si>
    <t>Swalot*</t>
  </si>
  <si>
    <t>0318</t>
  </si>
  <si>
    <t>Carvanha</t>
  </si>
  <si>
    <t>0319</t>
  </si>
  <si>
    <t>Sharpedo</t>
  </si>
  <si>
    <t>0320</t>
  </si>
  <si>
    <t>Wailmer</t>
  </si>
  <si>
    <t>0321</t>
  </si>
  <si>
    <t>Wailord</t>
  </si>
  <si>
    <t>0415</t>
  </si>
  <si>
    <t>Combee*</t>
  </si>
  <si>
    <t>0416</t>
  </si>
  <si>
    <t>Vespiquen</t>
  </si>
  <si>
    <t>0417</t>
  </si>
  <si>
    <t>Pachirisu*</t>
  </si>
  <si>
    <t>0418</t>
  </si>
  <si>
    <t>Buizel*</t>
  </si>
  <si>
    <t>0205</t>
  </si>
  <si>
    <t>0419</t>
  </si>
  <si>
    <t>Forretress</t>
  </si>
  <si>
    <t>Persian (Alola)</t>
  </si>
  <si>
    <t>Floatzel*</t>
  </si>
  <si>
    <t>0206</t>
  </si>
  <si>
    <t>0054</t>
  </si>
  <si>
    <t>0420</t>
  </si>
  <si>
    <t>Dunsparce</t>
  </si>
  <si>
    <t>Psyduck</t>
  </si>
  <si>
    <t>Cherubi</t>
  </si>
  <si>
    <t>0207</t>
  </si>
  <si>
    <t>0055</t>
  </si>
  <si>
    <t>0421</t>
  </si>
  <si>
    <t>Gligar*</t>
  </si>
  <si>
    <t>Golduck</t>
  </si>
  <si>
    <t>Cherrim</t>
  </si>
  <si>
    <t>0208</t>
  </si>
  <si>
    <t>0056</t>
  </si>
  <si>
    <t>0422</t>
  </si>
  <si>
    <t>Mankey</t>
  </si>
  <si>
    <t>Steelix*</t>
  </si>
  <si>
    <t>Shellos (West)</t>
  </si>
  <si>
    <t>0057</t>
  </si>
  <si>
    <t>0209</t>
  </si>
  <si>
    <t>Primeape</t>
  </si>
  <si>
    <t>Snubbull</t>
  </si>
  <si>
    <t>0058</t>
  </si>
  <si>
    <t>0210</t>
  </si>
  <si>
    <t>Growlithe</t>
  </si>
  <si>
    <t>Granbull</t>
  </si>
  <si>
    <t>0211</t>
  </si>
  <si>
    <t>Growlithe (Hisui)</t>
  </si>
  <si>
    <t>Qwilfish</t>
  </si>
  <si>
    <t>0059</t>
  </si>
  <si>
    <t>Arcanine</t>
  </si>
  <si>
    <t>Qwilfish (Hisui)</t>
  </si>
  <si>
    <t>0322</t>
  </si>
  <si>
    <t>Numel*</t>
  </si>
  <si>
    <t>0323</t>
  </si>
  <si>
    <t>Camerupt*</t>
  </si>
  <si>
    <t>0324</t>
  </si>
  <si>
    <t>Torkoal</t>
  </si>
  <si>
    <t>0325</t>
  </si>
  <si>
    <t>Spoink</t>
  </si>
  <si>
    <t>0326</t>
  </si>
  <si>
    <t>Grumpig</t>
  </si>
  <si>
    <t>0327</t>
  </si>
  <si>
    <t>Spinda</t>
  </si>
  <si>
    <t>0328</t>
  </si>
  <si>
    <t>Trapinch</t>
  </si>
  <si>
    <t>0329</t>
  </si>
  <si>
    <t>Vibrava</t>
  </si>
  <si>
    <t>Arcanine (Hisui)</t>
  </si>
  <si>
    <t>0060</t>
  </si>
  <si>
    <t>Poliwag</t>
  </si>
  <si>
    <t>0061</t>
  </si>
  <si>
    <t>Poliwhirl</t>
  </si>
  <si>
    <t>0062</t>
  </si>
  <si>
    <t>Poliwrath</t>
  </si>
  <si>
    <t>Shellos (East)</t>
  </si>
  <si>
    <t>0063</t>
  </si>
  <si>
    <t>0423</t>
  </si>
  <si>
    <t>Abra</t>
  </si>
  <si>
    <t>0064</t>
  </si>
  <si>
    <t>Gastrodon (West)</t>
  </si>
  <si>
    <t>Kadabra*</t>
  </si>
  <si>
    <t>0065</t>
  </si>
  <si>
    <t>Gastrodon (East)</t>
  </si>
  <si>
    <t>Alakazam*</t>
  </si>
  <si>
    <t>0424</t>
  </si>
  <si>
    <t>0066</t>
  </si>
  <si>
    <t>Ambipom*</t>
  </si>
  <si>
    <t>Machop</t>
  </si>
  <si>
    <t>0425</t>
  </si>
  <si>
    <t>Drifloon</t>
  </si>
  <si>
    <t>0426</t>
  </si>
  <si>
    <t>Drifblim</t>
  </si>
  <si>
    <t>0427</t>
  </si>
  <si>
    <t>Buneary</t>
  </si>
  <si>
    <t>0428</t>
  </si>
  <si>
    <t>Lopunny</t>
  </si>
  <si>
    <t>0330</t>
  </si>
  <si>
    <t>Flygon</t>
  </si>
  <si>
    <t>0331</t>
  </si>
  <si>
    <t>Cacnea</t>
  </si>
  <si>
    <t>0332</t>
  </si>
  <si>
    <t>Cacturne*</t>
  </si>
  <si>
    <t>0333</t>
  </si>
  <si>
    <t>Swablu</t>
  </si>
  <si>
    <t>0334</t>
  </si>
  <si>
    <t>Altaria</t>
  </si>
  <si>
    <t>0335</t>
  </si>
  <si>
    <t>Zangoose</t>
  </si>
  <si>
    <t>0336</t>
  </si>
  <si>
    <t>Seviper</t>
  </si>
  <si>
    <t>0212</t>
  </si>
  <si>
    <t>0337</t>
  </si>
  <si>
    <t>Lunatone</t>
  </si>
  <si>
    <t>Scizor*</t>
  </si>
  <si>
    <t>0213</t>
  </si>
  <si>
    <t>Shuckle</t>
  </si>
  <si>
    <t>0214</t>
  </si>
  <si>
    <t>Heracross*</t>
  </si>
  <si>
    <t>0215</t>
  </si>
  <si>
    <t>Sneasel*</t>
  </si>
  <si>
    <t>Sneasel* (Hisui)</t>
  </si>
  <si>
    <t>0216</t>
  </si>
  <si>
    <t>Teddiursa</t>
  </si>
  <si>
    <t>0217</t>
  </si>
  <si>
    <t>Ursaring*</t>
  </si>
  <si>
    <t>0218</t>
  </si>
  <si>
    <t>Slugma</t>
  </si>
  <si>
    <t>0067</t>
  </si>
  <si>
    <t>Machoke</t>
  </si>
  <si>
    <t>0068</t>
  </si>
  <si>
    <t>Machamp</t>
  </si>
  <si>
    <t>0069</t>
  </si>
  <si>
    <t>Bellsprout</t>
  </si>
  <si>
    <t>0070</t>
  </si>
  <si>
    <t>Weepinbell</t>
  </si>
  <si>
    <t>0071</t>
  </si>
  <si>
    <t>Victreebel</t>
  </si>
  <si>
    <t>0072</t>
  </si>
  <si>
    <t>Tentacool</t>
  </si>
  <si>
    <t>0073</t>
  </si>
  <si>
    <t>Tentacruel</t>
  </si>
  <si>
    <t>0074</t>
  </si>
  <si>
    <t>Geodude</t>
  </si>
  <si>
    <t>0429</t>
  </si>
  <si>
    <t>Mismagius</t>
  </si>
  <si>
    <t>0430</t>
  </si>
  <si>
    <t>Honchkrow</t>
  </si>
  <si>
    <t>0431</t>
  </si>
  <si>
    <t>Glameow</t>
  </si>
  <si>
    <t>0432</t>
  </si>
  <si>
    <t>Purugly</t>
  </si>
  <si>
    <t>0433</t>
  </si>
  <si>
    <t>Chingling</t>
  </si>
  <si>
    <t>0434</t>
  </si>
  <si>
    <t>Stunky</t>
  </si>
  <si>
    <t>0435</t>
  </si>
  <si>
    <t>Skuntank</t>
  </si>
  <si>
    <t>0436</t>
  </si>
  <si>
    <t>Bronzor</t>
  </si>
  <si>
    <t>0338</t>
  </si>
  <si>
    <t>Solrock</t>
  </si>
  <si>
    <t>0339</t>
  </si>
  <si>
    <t>Barboach</t>
  </si>
  <si>
    <t>0340</t>
  </si>
  <si>
    <t>Whiscash</t>
  </si>
  <si>
    <t>0341</t>
  </si>
  <si>
    <t>Corphish</t>
  </si>
  <si>
    <t>0342</t>
  </si>
  <si>
    <t>Crawdaunt</t>
  </si>
  <si>
    <t>0343</t>
  </si>
  <si>
    <t>Baltoy</t>
  </si>
  <si>
    <t>0344</t>
  </si>
  <si>
    <t>Claydol</t>
  </si>
  <si>
    <t>0345</t>
  </si>
  <si>
    <t>Lileep</t>
  </si>
  <si>
    <t>0219</t>
  </si>
  <si>
    <t>Magcargo</t>
  </si>
  <si>
    <t>0220</t>
  </si>
  <si>
    <t>Swinub</t>
  </si>
  <si>
    <t>0221</t>
  </si>
  <si>
    <t>Piloswine*</t>
  </si>
  <si>
    <t>0222</t>
  </si>
  <si>
    <t>Corsola</t>
  </si>
  <si>
    <t>Corsola (Galar)</t>
  </si>
  <si>
    <t>0223</t>
  </si>
  <si>
    <t>Remoraid</t>
  </si>
  <si>
    <t>0224</t>
  </si>
  <si>
    <t>Octillery*</t>
  </si>
  <si>
    <t>0225</t>
  </si>
  <si>
    <t>Delibird</t>
  </si>
  <si>
    <t>0346</t>
  </si>
  <si>
    <t>Cradily</t>
  </si>
  <si>
    <t>0347</t>
  </si>
  <si>
    <t>Anorith</t>
  </si>
  <si>
    <t>0348</t>
  </si>
  <si>
    <t>Armaldo</t>
  </si>
  <si>
    <t>0349</t>
  </si>
  <si>
    <t>Feebas</t>
  </si>
  <si>
    <t>0350</t>
  </si>
  <si>
    <t>Milotic*</t>
  </si>
  <si>
    <t>0351</t>
  </si>
  <si>
    <t>Castform</t>
  </si>
  <si>
    <t>Geodude (Alola)</t>
  </si>
  <si>
    <t>0352</t>
  </si>
  <si>
    <t>Kecleon</t>
  </si>
  <si>
    <t>0075</t>
  </si>
  <si>
    <t>0353</t>
  </si>
  <si>
    <t>Graveler</t>
  </si>
  <si>
    <t>Shuppet</t>
  </si>
  <si>
    <t>Graveler (Alola)</t>
  </si>
  <si>
    <t>0076</t>
  </si>
  <si>
    <t>Golem</t>
  </si>
  <si>
    <t>Golem (Alola)</t>
  </si>
  <si>
    <t>0077</t>
  </si>
  <si>
    <t>Ponyta</t>
  </si>
  <si>
    <t>Ponyta (Galar)</t>
  </si>
  <si>
    <t>0078</t>
  </si>
  <si>
    <t>078 - Rapidash</t>
  </si>
  <si>
    <t>0437</t>
  </si>
  <si>
    <t>Bronzong</t>
  </si>
  <si>
    <t>0438</t>
  </si>
  <si>
    <t>Bonsly</t>
  </si>
  <si>
    <t>0439</t>
  </si>
  <si>
    <t>Mime Jr.</t>
  </si>
  <si>
    <t>0440</t>
  </si>
  <si>
    <t>Happiny</t>
  </si>
  <si>
    <t>0441</t>
  </si>
  <si>
    <t>Chatot</t>
  </si>
  <si>
    <t>0442</t>
  </si>
  <si>
    <t>Spiritomb</t>
  </si>
  <si>
    <t>0443</t>
  </si>
  <si>
    <t>Gible*</t>
  </si>
  <si>
    <t>0444</t>
  </si>
  <si>
    <t>Gabite*</t>
  </si>
  <si>
    <t>0226</t>
  </si>
  <si>
    <t>Mantine</t>
  </si>
  <si>
    <t>0227</t>
  </si>
  <si>
    <t>Skarmory</t>
  </si>
  <si>
    <t>0228</t>
  </si>
  <si>
    <t>Houndour</t>
  </si>
  <si>
    <t>0229</t>
  </si>
  <si>
    <t>Houndoom*</t>
  </si>
  <si>
    <t>0230</t>
  </si>
  <si>
    <t>Kingdra</t>
  </si>
  <si>
    <t>0231</t>
  </si>
  <si>
    <t>Phanpy</t>
  </si>
  <si>
    <t>0232</t>
  </si>
  <si>
    <t>Donphan*</t>
  </si>
  <si>
    <t>0233</t>
  </si>
  <si>
    <t>Porygon2</t>
  </si>
  <si>
    <t>0354</t>
  </si>
  <si>
    <t>Banette</t>
  </si>
  <si>
    <t>0355</t>
  </si>
  <si>
    <t>Duskull</t>
  </si>
  <si>
    <t>0356</t>
  </si>
  <si>
    <t>Dusclops</t>
  </si>
  <si>
    <t>0357</t>
  </si>
  <si>
    <t>Tropius</t>
  </si>
  <si>
    <t>0358</t>
  </si>
  <si>
    <t>Chimecho</t>
  </si>
  <si>
    <t>0359</t>
  </si>
  <si>
    <t>Absol</t>
  </si>
  <si>
    <t>0360</t>
  </si>
  <si>
    <t>Wynaut</t>
  </si>
  <si>
    <t>0361</t>
  </si>
  <si>
    <t>Snorunt</t>
  </si>
  <si>
    <t>Rapidash (Galar)</t>
  </si>
  <si>
    <t>0079</t>
  </si>
  <si>
    <t>Slowpoke</t>
  </si>
  <si>
    <t>Slowpoke (Galar)</t>
  </si>
  <si>
    <t>0080</t>
  </si>
  <si>
    <t>Slowbro</t>
  </si>
  <si>
    <t>Slowbro (Galar)</t>
  </si>
  <si>
    <t>0081</t>
  </si>
  <si>
    <t>Magnemite</t>
  </si>
  <si>
    <t>0082</t>
  </si>
  <si>
    <t>Magneton</t>
  </si>
  <si>
    <t>0083</t>
  </si>
  <si>
    <t>Farfetch'd</t>
  </si>
  <si>
    <t>0234</t>
  </si>
  <si>
    <t>Stantler</t>
  </si>
  <si>
    <t>0235</t>
  </si>
  <si>
    <t>Smeargle</t>
  </si>
  <si>
    <t>0236</t>
  </si>
  <si>
    <t>Tyrogue</t>
  </si>
  <si>
    <t>0237</t>
  </si>
  <si>
    <t>Hitmontop</t>
  </si>
  <si>
    <t>0238</t>
  </si>
  <si>
    <t>Smoochum</t>
  </si>
  <si>
    <t>0239</t>
  </si>
  <si>
    <t>Elekid</t>
  </si>
  <si>
    <t>0240</t>
  </si>
  <si>
    <t>Magby</t>
  </si>
  <si>
    <t>0241</t>
  </si>
  <si>
    <t>Miltank</t>
  </si>
  <si>
    <t>0445</t>
  </si>
  <si>
    <t>Garchomp*</t>
  </si>
  <si>
    <t>0446</t>
  </si>
  <si>
    <t>Munchlax</t>
  </si>
  <si>
    <t>0447</t>
  </si>
  <si>
    <t>Riolu</t>
  </si>
  <si>
    <t>0448</t>
  </si>
  <si>
    <t>Lucario</t>
  </si>
  <si>
    <t>0449</t>
  </si>
  <si>
    <t>Hippopotas*</t>
  </si>
  <si>
    <t>0450</t>
  </si>
  <si>
    <t>Farfetch'd (Galar)</t>
  </si>
  <si>
    <t>0084</t>
  </si>
  <si>
    <t>Hippowdon*</t>
  </si>
  <si>
    <t>Doduo*</t>
  </si>
  <si>
    <t>0451</t>
  </si>
  <si>
    <t>Skorupi</t>
  </si>
  <si>
    <t>0452</t>
  </si>
  <si>
    <t>0085</t>
  </si>
  <si>
    <t>Drapion</t>
  </si>
  <si>
    <t>Dodrio*</t>
  </si>
  <si>
    <t>0086</t>
  </si>
  <si>
    <t>Seel</t>
  </si>
  <si>
    <t>0087</t>
  </si>
  <si>
    <t>Dewgong</t>
  </si>
  <si>
    <t>0088</t>
  </si>
  <si>
    <t>Grimer</t>
  </si>
  <si>
    <t>Grimer (Alola)</t>
  </si>
  <si>
    <t>0089</t>
  </si>
  <si>
    <t>Muk</t>
  </si>
  <si>
    <t>0362</t>
  </si>
  <si>
    <t>Glalie</t>
  </si>
  <si>
    <t>0363</t>
  </si>
  <si>
    <t>Spheal</t>
  </si>
  <si>
    <t>0364</t>
  </si>
  <si>
    <t>Sealeo</t>
  </si>
  <si>
    <t>0365</t>
  </si>
  <si>
    <t>Walrein</t>
  </si>
  <si>
    <t>0366</t>
  </si>
  <si>
    <t>Clamperl</t>
  </si>
  <si>
    <t>0367</t>
  </si>
  <si>
    <t>Huntail</t>
  </si>
  <si>
    <t>0368</t>
  </si>
  <si>
    <t>Gorebyss</t>
  </si>
  <si>
    <t>0369</t>
  </si>
  <si>
    <t>Relicanth*</t>
  </si>
  <si>
    <t>0242</t>
  </si>
  <si>
    <t>Blissey</t>
  </si>
  <si>
    <t>0243</t>
  </si>
  <si>
    <t>Raikou</t>
  </si>
  <si>
    <t>0244</t>
  </si>
  <si>
    <t>Entei</t>
  </si>
  <si>
    <t>0245</t>
  </si>
  <si>
    <t>Suicune</t>
  </si>
  <si>
    <t>0246</t>
  </si>
  <si>
    <t>Larvitar</t>
  </si>
  <si>
    <t>0247</t>
  </si>
  <si>
    <t>Pupitar</t>
  </si>
  <si>
    <t>0248</t>
  </si>
  <si>
    <t>Tyranitar</t>
  </si>
  <si>
    <t>0249</t>
  </si>
  <si>
    <t>Lugia</t>
  </si>
  <si>
    <t>Muk (Alola)</t>
  </si>
  <si>
    <t>0090</t>
  </si>
  <si>
    <t>Shellder</t>
  </si>
  <si>
    <t>0091</t>
  </si>
  <si>
    <t>Cloyster</t>
  </si>
  <si>
    <t>0092</t>
  </si>
  <si>
    <t>Gastly</t>
  </si>
  <si>
    <t>0093</t>
  </si>
  <si>
    <t>Haunter</t>
  </si>
  <si>
    <t>0370</t>
  </si>
  <si>
    <t>0094</t>
  </si>
  <si>
    <t>Luvdisc</t>
  </si>
  <si>
    <t>Gengar</t>
  </si>
  <si>
    <t>0371</t>
  </si>
  <si>
    <t>0095</t>
  </si>
  <si>
    <t>Bagon</t>
  </si>
  <si>
    <t>Onix</t>
  </si>
  <si>
    <t>0372</t>
  </si>
  <si>
    <t>0096</t>
  </si>
  <si>
    <t>Shelgon</t>
  </si>
  <si>
    <t>Drowzee</t>
  </si>
  <si>
    <t>0373</t>
  </si>
  <si>
    <t>Salamence</t>
  </si>
  <si>
    <t>0374</t>
  </si>
  <si>
    <t>Beldum</t>
  </si>
  <si>
    <t>0375</t>
  </si>
  <si>
    <t>Metang</t>
  </si>
  <si>
    <t>0376</t>
  </si>
  <si>
    <t>Metagross</t>
  </si>
  <si>
    <t>0377</t>
  </si>
  <si>
    <t>Regirock</t>
  </si>
  <si>
    <t>0453</t>
  </si>
  <si>
    <t>Croagunk*</t>
  </si>
  <si>
    <t>0454</t>
  </si>
  <si>
    <t>Toxicroak*</t>
  </si>
  <si>
    <t>0455</t>
  </si>
  <si>
    <t>Carnivine</t>
  </si>
  <si>
    <t>0456</t>
  </si>
  <si>
    <t>Finneon*</t>
  </si>
  <si>
    <t>0457</t>
  </si>
  <si>
    <t>Lumineon*</t>
  </si>
  <si>
    <t>0458</t>
  </si>
  <si>
    <t>Mantyke</t>
  </si>
  <si>
    <t>0459</t>
  </si>
  <si>
    <t>Snover*</t>
  </si>
  <si>
    <t>0460</t>
  </si>
  <si>
    <t>Abomasnow*</t>
  </si>
  <si>
    <t>0250</t>
  </si>
  <si>
    <t>Ho-Oh</t>
  </si>
  <si>
    <t>0251</t>
  </si>
  <si>
    <t>Celebi</t>
  </si>
  <si>
    <t>0378</t>
  </si>
  <si>
    <t>Regice</t>
  </si>
  <si>
    <t>0379</t>
  </si>
  <si>
    <t>Registeel</t>
  </si>
  <si>
    <t>0380</t>
  </si>
  <si>
    <t>Latias</t>
  </si>
  <si>
    <t>0381</t>
  </si>
  <si>
    <t>Latios</t>
  </si>
  <si>
    <t>0382</t>
  </si>
  <si>
    <t>Kyogre</t>
  </si>
  <si>
    <t>0383</t>
  </si>
  <si>
    <t>Groudon</t>
  </si>
  <si>
    <t>0384</t>
  </si>
  <si>
    <t>Rayquaza</t>
  </si>
  <si>
    <t>0385</t>
  </si>
  <si>
    <t>Jirachi</t>
  </si>
  <si>
    <t>0097</t>
  </si>
  <si>
    <t>Hypno*</t>
  </si>
  <si>
    <t>0098</t>
  </si>
  <si>
    <t>Krabby</t>
  </si>
  <si>
    <t>0099</t>
  </si>
  <si>
    <t>Kingler</t>
  </si>
  <si>
    <t>0100</t>
  </si>
  <si>
    <t>Voltorb</t>
  </si>
  <si>
    <t>Voltorb (Hisui)</t>
  </si>
  <si>
    <t>0101</t>
  </si>
  <si>
    <t>Electrode</t>
  </si>
  <si>
    <t>Electrode (Hisui)</t>
  </si>
  <si>
    <t>0102</t>
  </si>
  <si>
    <t>Exeggcute</t>
  </si>
  <si>
    <t>0461</t>
  </si>
  <si>
    <t>Weavile*</t>
  </si>
  <si>
    <t>0462</t>
  </si>
  <si>
    <t>Magnezone</t>
  </si>
  <si>
    <t>0463</t>
  </si>
  <si>
    <t>Lickilicky</t>
  </si>
  <si>
    <t>0464</t>
  </si>
  <si>
    <t>Rhyperior*</t>
  </si>
  <si>
    <t>0465</t>
  </si>
  <si>
    <t>Tangrowth*</t>
  </si>
  <si>
    <t>0466</t>
  </si>
  <si>
    <t>Electivire</t>
  </si>
  <si>
    <t>0467</t>
  </si>
  <si>
    <t>Magmortar</t>
  </si>
  <si>
    <t>0468</t>
  </si>
  <si>
    <t>Togekiss</t>
  </si>
  <si>
    <t>0386</t>
  </si>
  <si>
    <t>Deoxys (Normal)</t>
  </si>
  <si>
    <t>Deoxys (Attack)</t>
  </si>
  <si>
    <t>Deoxys (Defense)</t>
  </si>
  <si>
    <t>Deoxys (Speed)</t>
  </si>
  <si>
    <t>0103</t>
  </si>
  <si>
    <t>Exeggutor</t>
  </si>
  <si>
    <t>Exeggutor (Alola)</t>
  </si>
  <si>
    <t>0104</t>
  </si>
  <si>
    <t>Cubone</t>
  </si>
  <si>
    <t>0105</t>
  </si>
  <si>
    <t>Marowak</t>
  </si>
  <si>
    <t>Marowak (Alola)</t>
  </si>
  <si>
    <t>0106</t>
  </si>
  <si>
    <t>Hitmonlee</t>
  </si>
  <si>
    <t>0107</t>
  </si>
  <si>
    <t>Hitmonchan</t>
  </si>
  <si>
    <t>0108</t>
  </si>
  <si>
    <t>Lickitung</t>
  </si>
  <si>
    <t>0494</t>
  </si>
  <si>
    <t>Victini</t>
  </si>
  <si>
    <t>0495</t>
  </si>
  <si>
    <t>Snivy</t>
  </si>
  <si>
    <t>0496</t>
  </si>
  <si>
    <t>Servine</t>
  </si>
  <si>
    <t>0497</t>
  </si>
  <si>
    <t>Serperior</t>
  </si>
  <si>
    <t>0498</t>
  </si>
  <si>
    <t>Tepig</t>
  </si>
  <si>
    <t>0499</t>
  </si>
  <si>
    <t>Pignite</t>
  </si>
  <si>
    <t>0500</t>
  </si>
  <si>
    <t>Emboar</t>
  </si>
  <si>
    <t>0501</t>
  </si>
  <si>
    <t>Oshawott</t>
  </si>
  <si>
    <t>0109</t>
  </si>
  <si>
    <t>Koffing</t>
  </si>
  <si>
    <t>0110</t>
  </si>
  <si>
    <t>Weezing</t>
  </si>
  <si>
    <t>Weezing (Galar)</t>
  </si>
  <si>
    <t>0650</t>
  </si>
  <si>
    <t>0111</t>
  </si>
  <si>
    <t>0469</t>
  </si>
  <si>
    <t>Rhyhorn*</t>
  </si>
  <si>
    <t>Chespin</t>
  </si>
  <si>
    <t>0112</t>
  </si>
  <si>
    <t>Yanmega</t>
  </si>
  <si>
    <t>0651</t>
  </si>
  <si>
    <t>Rhydon*</t>
  </si>
  <si>
    <t>0113</t>
  </si>
  <si>
    <t>0470</t>
  </si>
  <si>
    <t>Quilladin</t>
  </si>
  <si>
    <t>Chansey</t>
  </si>
  <si>
    <t>0652</t>
  </si>
  <si>
    <t>Leafeon</t>
  </si>
  <si>
    <t>0114</t>
  </si>
  <si>
    <t>Chesnaught</t>
  </si>
  <si>
    <t>Tangela</t>
  </si>
  <si>
    <t>0471</t>
  </si>
  <si>
    <t>0653</t>
  </si>
  <si>
    <t>0115</t>
  </si>
  <si>
    <t>Glaceon</t>
  </si>
  <si>
    <t>Kangaskhan</t>
  </si>
  <si>
    <t>Fennekin</t>
  </si>
  <si>
    <t>0654</t>
  </si>
  <si>
    <t>0472</t>
  </si>
  <si>
    <t>Braixen</t>
  </si>
  <si>
    <t>Gliscor</t>
  </si>
  <si>
    <t>0655</t>
  </si>
  <si>
    <t>0473</t>
  </si>
  <si>
    <t>Delphox</t>
  </si>
  <si>
    <t>0656</t>
  </si>
  <si>
    <t>Mamoswine*</t>
  </si>
  <si>
    <t>Froakie</t>
  </si>
  <si>
    <t>0474</t>
  </si>
  <si>
    <t>0657</t>
  </si>
  <si>
    <t>Porygon-Z</t>
  </si>
  <si>
    <t>Frogadier</t>
  </si>
  <si>
    <t>0475</t>
  </si>
  <si>
    <t>Gallade</t>
  </si>
  <si>
    <t>0476</t>
  </si>
  <si>
    <t>Not available</t>
  </si>
  <si>
    <t>Probopass</t>
  </si>
  <si>
    <t>0658</t>
  </si>
  <si>
    <t>Greninja</t>
  </si>
  <si>
    <t>0659</t>
  </si>
  <si>
    <t>Bunnelby</t>
  </si>
  <si>
    <t>0660</t>
  </si>
  <si>
    <t>Diggersby</t>
  </si>
  <si>
    <t>0502</t>
  </si>
  <si>
    <t>0661</t>
  </si>
  <si>
    <t>Fletchling</t>
  </si>
  <si>
    <t>0662</t>
  </si>
  <si>
    <t>Dewott</t>
  </si>
  <si>
    <t>Fletchinder</t>
  </si>
  <si>
    <t>0663</t>
  </si>
  <si>
    <t>0503</t>
  </si>
  <si>
    <t>Talonflame</t>
  </si>
  <si>
    <t>0664</t>
  </si>
  <si>
    <t>Samurott</t>
  </si>
  <si>
    <t>Scatterbug</t>
  </si>
  <si>
    <t>0665</t>
  </si>
  <si>
    <t>Spewpa</t>
  </si>
  <si>
    <t>0116</t>
  </si>
  <si>
    <t>Samurott (Hisui)</t>
  </si>
  <si>
    <t>Horsea</t>
  </si>
  <si>
    <t>0504</t>
  </si>
  <si>
    <t>0117</t>
  </si>
  <si>
    <t>Seadra</t>
  </si>
  <si>
    <t>Patrat</t>
  </si>
  <si>
    <t>0118</t>
  </si>
  <si>
    <t>Goldeen*</t>
  </si>
  <si>
    <t>0505</t>
  </si>
  <si>
    <t>0119</t>
  </si>
  <si>
    <t>Seaking*</t>
  </si>
  <si>
    <t>Watchog</t>
  </si>
  <si>
    <t>0120</t>
  </si>
  <si>
    <t>0506</t>
  </si>
  <si>
    <t>Staryu</t>
  </si>
  <si>
    <t>0121</t>
  </si>
  <si>
    <t>Lillipup</t>
  </si>
  <si>
    <t>Starmie</t>
  </si>
  <si>
    <t>0122</t>
  </si>
  <si>
    <t>0507</t>
  </si>
  <si>
    <t>Mr. Mime</t>
  </si>
  <si>
    <t>Herdier</t>
  </si>
  <si>
    <t>Mr. Mime (Galar)</t>
  </si>
  <si>
    <t>0508</t>
  </si>
  <si>
    <t>Stoutland</t>
  </si>
  <si>
    <t>0477</t>
  </si>
  <si>
    <t>Dusknoir</t>
  </si>
  <si>
    <t>0478</t>
  </si>
  <si>
    <t>Froslass</t>
  </si>
  <si>
    <t>0479</t>
  </si>
  <si>
    <t>Rotom</t>
  </si>
  <si>
    <t>Rotom (Heat)</t>
  </si>
  <si>
    <t>Rotom (Wash)</t>
  </si>
  <si>
    <t>Rotom (Frost)</t>
  </si>
  <si>
    <t>Rotom (Fan)</t>
  </si>
  <si>
    <t>Rotom (Mow)</t>
  </si>
  <si>
    <t>0666</t>
  </si>
  <si>
    <t>Vivillon</t>
  </si>
  <si>
    <t>0667</t>
  </si>
  <si>
    <t>Litleo</t>
  </si>
  <si>
    <t>0668</t>
  </si>
  <si>
    <t>Pyroar (Male)</t>
  </si>
  <si>
    <t>Pyroar (Female)</t>
  </si>
  <si>
    <t>0669</t>
  </si>
  <si>
    <t>Flabébé (Red)</t>
  </si>
  <si>
    <t>Flabébé (Yellow)</t>
  </si>
  <si>
    <t>Flabébé (Orange)</t>
  </si>
  <si>
    <t>0123</t>
  </si>
  <si>
    <t>Flabébé (Blue)</t>
  </si>
  <si>
    <t>Scyther*</t>
  </si>
  <si>
    <t>0124</t>
  </si>
  <si>
    <t>Jynx</t>
  </si>
  <si>
    <t>0125</t>
  </si>
  <si>
    <t>Electabuzz</t>
  </si>
  <si>
    <t>0126</t>
  </si>
  <si>
    <t>Magmar</t>
  </si>
  <si>
    <t>0127</t>
  </si>
  <si>
    <t>Pinsir</t>
  </si>
  <si>
    <t>0128</t>
  </si>
  <si>
    <t>Tauros</t>
  </si>
  <si>
    <r>
      <rPr>
        <rFont val="Trebuchet MS"/>
        <color rgb="FFFFFFFF"/>
        <sz val="9.0"/>
      </rPr>
      <t>Tauros</t>
    </r>
    <r>
      <rPr>
        <rFont val="Trebuchet MS"/>
        <color rgb="FFFFFFFF"/>
        <sz val="8.0"/>
      </rPr>
      <t xml:space="preserve"> </t>
    </r>
    <r>
      <rPr>
        <rFont val="Trebuchet MS"/>
        <color rgb="FFFFFFFF"/>
        <sz val="7.0"/>
      </rPr>
      <t>(Combat Breed</t>
    </r>
    <r>
      <rPr>
        <rFont val="Trebuchet MS"/>
        <color rgb="FFFFFFFF"/>
        <sz val="8.0"/>
      </rPr>
      <t>)</t>
    </r>
  </si>
  <si>
    <t>Vivillon Forms tab</t>
  </si>
  <si>
    <r>
      <rPr>
        <rFont val="Trebuchet MS"/>
        <color rgb="FFFFFFFF"/>
        <sz val="9.0"/>
      </rPr>
      <t>Tauros</t>
    </r>
    <r>
      <rPr>
        <rFont val="Trebuchet MS"/>
        <color rgb="FFFFFFFF"/>
        <sz val="8.0"/>
      </rPr>
      <t xml:space="preserve"> </t>
    </r>
    <r>
      <rPr>
        <rFont val="Trebuchet MS"/>
        <color rgb="FFFFFFFF"/>
        <sz val="7.0"/>
      </rPr>
      <t>(Blaze Breed</t>
    </r>
    <r>
      <rPr>
        <rFont val="Trebuchet MS"/>
        <color rgb="FFFFFFFF"/>
        <sz val="8.0"/>
      </rPr>
      <t>)</t>
    </r>
  </si>
  <si>
    <t>0509</t>
  </si>
  <si>
    <t>Purrloin</t>
  </si>
  <si>
    <t>0510</t>
  </si>
  <si>
    <t>Liepard</t>
  </si>
  <si>
    <t>0511</t>
  </si>
  <si>
    <t>Pansage</t>
  </si>
  <si>
    <t>0512</t>
  </si>
  <si>
    <t>Simisage</t>
  </si>
  <si>
    <t>0513</t>
  </si>
  <si>
    <t>Pansear</t>
  </si>
  <si>
    <t>0514</t>
  </si>
  <si>
    <t>Simisear</t>
  </si>
  <si>
    <t>0515</t>
  </si>
  <si>
    <t>Panpour</t>
  </si>
  <si>
    <t>0516</t>
  </si>
  <si>
    <t>Simipour</t>
  </si>
  <si>
    <r>
      <rPr>
        <rFont val="Trebuchet MS"/>
        <color rgb="FFFFFFFF"/>
        <sz val="9.0"/>
      </rPr>
      <t>Tauros</t>
    </r>
    <r>
      <rPr>
        <rFont val="Trebuchet MS"/>
        <color rgb="FFFFFFFF"/>
        <sz val="8.0"/>
      </rPr>
      <t xml:space="preserve"> </t>
    </r>
    <r>
      <rPr>
        <rFont val="Trebuchet MS"/>
        <color rgb="FFFFFFFF"/>
        <sz val="7.0"/>
      </rPr>
      <t>(Aqua Breed</t>
    </r>
    <r>
      <rPr>
        <rFont val="Trebuchet MS"/>
        <color rgb="FFFFFFFF"/>
        <sz val="8.0"/>
      </rPr>
      <t>)</t>
    </r>
  </si>
  <si>
    <t>0129</t>
  </si>
  <si>
    <t>Magikarp</t>
  </si>
  <si>
    <t>0130</t>
  </si>
  <si>
    <t>Gyarados</t>
  </si>
  <si>
    <t>0131</t>
  </si>
  <si>
    <t>Lapras</t>
  </si>
  <si>
    <t>0132</t>
  </si>
  <si>
    <t>Ditto</t>
  </si>
  <si>
    <t>0133</t>
  </si>
  <si>
    <t>Eevee*</t>
  </si>
  <si>
    <t>0134</t>
  </si>
  <si>
    <t>Vaporeon</t>
  </si>
  <si>
    <t>0135</t>
  </si>
  <si>
    <t>Jolteon</t>
  </si>
  <si>
    <t>0480</t>
  </si>
  <si>
    <t>Uxie</t>
  </si>
  <si>
    <t>0481</t>
  </si>
  <si>
    <t>Mesprit</t>
  </si>
  <si>
    <t>0482</t>
  </si>
  <si>
    <t>Azelf</t>
  </si>
  <si>
    <t>Flabébé (White)</t>
  </si>
  <si>
    <t>0670</t>
  </si>
  <si>
    <t>0483</t>
  </si>
  <si>
    <t>Floette (Red)</t>
  </si>
  <si>
    <t>Dialga</t>
  </si>
  <si>
    <t>Floette (Yellow)</t>
  </si>
  <si>
    <t>Floette (Orange)</t>
  </si>
  <si>
    <t>Dialga (Origin)</t>
  </si>
  <si>
    <t>0484</t>
  </si>
  <si>
    <t>Floette (Blue)</t>
  </si>
  <si>
    <t>Palkia</t>
  </si>
  <si>
    <t>Floette (White)</t>
  </si>
  <si>
    <t>0671</t>
  </si>
  <si>
    <t>Florges (Red)</t>
  </si>
  <si>
    <t>Palkia (Origin)</t>
  </si>
  <si>
    <t>Florges (Yellow)</t>
  </si>
  <si>
    <t>0485</t>
  </si>
  <si>
    <t>Heatran</t>
  </si>
  <si>
    <t>0136</t>
  </si>
  <si>
    <t>Flareon</t>
  </si>
  <si>
    <t>0137</t>
  </si>
  <si>
    <t>Porygon</t>
  </si>
  <si>
    <t>0138</t>
  </si>
  <si>
    <t>Omanyte</t>
  </si>
  <si>
    <t>0139</t>
  </si>
  <si>
    <t>Florges (Orange)</t>
  </si>
  <si>
    <t>Omastar</t>
  </si>
  <si>
    <t>0140</t>
  </si>
  <si>
    <t>Florges (Blue)</t>
  </si>
  <si>
    <t>Kabuto</t>
  </si>
  <si>
    <t>Florges (White)</t>
  </si>
  <si>
    <t>0141</t>
  </si>
  <si>
    <t>0672</t>
  </si>
  <si>
    <t>Kabutops</t>
  </si>
  <si>
    <t>Skiddo</t>
  </si>
  <si>
    <t>0142</t>
  </si>
  <si>
    <t>0673</t>
  </si>
  <si>
    <t>Aerodactyl</t>
  </si>
  <si>
    <t>Gogoat</t>
  </si>
  <si>
    <t>0143</t>
  </si>
  <si>
    <t>0674</t>
  </si>
  <si>
    <t>Snorlax</t>
  </si>
  <si>
    <t>Pancham</t>
  </si>
  <si>
    <t>0675</t>
  </si>
  <si>
    <t>Pangoro</t>
  </si>
  <si>
    <t>0676</t>
  </si>
  <si>
    <t>Furfrou</t>
  </si>
  <si>
    <t>0517</t>
  </si>
  <si>
    <t>Munna</t>
  </si>
  <si>
    <t>0518</t>
  </si>
  <si>
    <t>Musharna</t>
  </si>
  <si>
    <t>0519</t>
  </si>
  <si>
    <t>Pidove</t>
  </si>
  <si>
    <t>0520</t>
  </si>
  <si>
    <t>Tranquill</t>
  </si>
  <si>
    <t>0521</t>
  </si>
  <si>
    <t>Unfezant (Male)</t>
  </si>
  <si>
    <t>0486</t>
  </si>
  <si>
    <t>Regigigas</t>
  </si>
  <si>
    <t>Unfezant (Female)</t>
  </si>
  <si>
    <t>0487</t>
  </si>
  <si>
    <t>0522</t>
  </si>
  <si>
    <t>Giratina</t>
  </si>
  <si>
    <t>Blitzle</t>
  </si>
  <si>
    <t>0523</t>
  </si>
  <si>
    <t>Giratina (Origin)</t>
  </si>
  <si>
    <t>Zebstrika</t>
  </si>
  <si>
    <t>0488</t>
  </si>
  <si>
    <t>Cresselia</t>
  </si>
  <si>
    <t>0489</t>
  </si>
  <si>
    <t>Phione</t>
  </si>
  <si>
    <t>0490</t>
  </si>
  <si>
    <t>Manaphy</t>
  </si>
  <si>
    <t>0491</t>
  </si>
  <si>
    <t>Darkrai</t>
  </si>
  <si>
    <t>0492</t>
  </si>
  <si>
    <t>Shaymin (Land)</t>
  </si>
  <si>
    <t>Furfrou (Heart)</t>
  </si>
  <si>
    <t>Furfrou (Star)</t>
  </si>
  <si>
    <t>Furfrou (Diamond)</t>
  </si>
  <si>
    <r>
      <rPr>
        <rFont val="Trebuchet MS"/>
        <color rgb="FFFFFFFF"/>
        <sz val="9.0"/>
      </rPr>
      <t>Furfrou</t>
    </r>
    <r>
      <rPr>
        <rFont val="Trebuchet MS"/>
        <color rgb="FFFFFFFF"/>
        <sz val="8.0"/>
      </rPr>
      <t xml:space="preserve"> (Debutante)</t>
    </r>
  </si>
  <si>
    <t>0144</t>
  </si>
  <si>
    <t>Furfrou (Matron)</t>
  </si>
  <si>
    <t>Articuno</t>
  </si>
  <si>
    <t>Furfrou (Dandy)</t>
  </si>
  <si>
    <t>Articuno (Galar)</t>
  </si>
  <si>
    <t>0145</t>
  </si>
  <si>
    <t>Furfrou (La Reine)</t>
  </si>
  <si>
    <t>Zapdos</t>
  </si>
  <si>
    <t>Zapdos (Galar)</t>
  </si>
  <si>
    <t>Furfrou (Kabuki)</t>
  </si>
  <si>
    <t>0146</t>
  </si>
  <si>
    <t>Moltres</t>
  </si>
  <si>
    <t>Moltres (Galar)</t>
  </si>
  <si>
    <t>0147</t>
  </si>
  <si>
    <t>Dratini</t>
  </si>
  <si>
    <t>0148</t>
  </si>
  <si>
    <t>Dragonair</t>
  </si>
  <si>
    <t>0149</t>
  </si>
  <si>
    <t>Dragonite</t>
  </si>
  <si>
    <t>0150</t>
  </si>
  <si>
    <t>Mewtwo</t>
  </si>
  <si>
    <t>Furfrou (Pharoah)</t>
  </si>
  <si>
    <t>0677</t>
  </si>
  <si>
    <t>Espurr</t>
  </si>
  <si>
    <t>0678</t>
  </si>
  <si>
    <t>Meowstic (Male)</t>
  </si>
  <si>
    <t>Meowstic (Female)</t>
  </si>
  <si>
    <t>0679</t>
  </si>
  <si>
    <t>Honedge</t>
  </si>
  <si>
    <t>0680</t>
  </si>
  <si>
    <t>Doublade</t>
  </si>
  <si>
    <t>0681</t>
  </si>
  <si>
    <t>Aegislash</t>
  </si>
  <si>
    <t>0682</t>
  </si>
  <si>
    <t>Spritzee</t>
  </si>
  <si>
    <t>0524</t>
  </si>
  <si>
    <t>Roggenrola</t>
  </si>
  <si>
    <t>0525</t>
  </si>
  <si>
    <t>Boldore</t>
  </si>
  <si>
    <t>0526</t>
  </si>
  <si>
    <t>Gigalith</t>
  </si>
  <si>
    <t>0527</t>
  </si>
  <si>
    <t>Woobat</t>
  </si>
  <si>
    <t>Shaymin (Sky)</t>
  </si>
  <si>
    <t>0528</t>
  </si>
  <si>
    <t>0493</t>
  </si>
  <si>
    <t>Swoobat</t>
  </si>
  <si>
    <t>Arceus (No Plate)</t>
  </si>
  <si>
    <t>0529</t>
  </si>
  <si>
    <t>Arceus (Plates)</t>
  </si>
  <si>
    <t>Drilbur</t>
  </si>
  <si>
    <t>0530</t>
  </si>
  <si>
    <t>Excadrill</t>
  </si>
  <si>
    <t>0531</t>
  </si>
  <si>
    <t>Audino</t>
  </si>
  <si>
    <t>See Intro tab for
Suggestions by Type</t>
  </si>
  <si>
    <t>0722</t>
  </si>
  <si>
    <t>Rowlet</t>
  </si>
  <si>
    <t>0723</t>
  </si>
  <si>
    <t>Dartrix</t>
  </si>
  <si>
    <t>0724</t>
  </si>
  <si>
    <t>Decidueye</t>
  </si>
  <si>
    <t>Decidueye (Hisui)</t>
  </si>
  <si>
    <t>0725</t>
  </si>
  <si>
    <t>Litten</t>
  </si>
  <si>
    <t>0726</t>
  </si>
  <si>
    <t>Torracat</t>
  </si>
  <si>
    <t>0727</t>
  </si>
  <si>
    <t>Incineroar</t>
  </si>
  <si>
    <t>0728</t>
  </si>
  <si>
    <t>Popplio</t>
  </si>
  <si>
    <t>0683</t>
  </si>
  <si>
    <t>Aromatisse</t>
  </si>
  <si>
    <t>0684</t>
  </si>
  <si>
    <t>Swirlix</t>
  </si>
  <si>
    <t>0685</t>
  </si>
  <si>
    <t>Slurpuff</t>
  </si>
  <si>
    <t>0686</t>
  </si>
  <si>
    <t>Inkay</t>
  </si>
  <si>
    <t>0687</t>
  </si>
  <si>
    <t>Malamar</t>
  </si>
  <si>
    <t>0688</t>
  </si>
  <si>
    <t>Binacle</t>
  </si>
  <si>
    <t>0689</t>
  </si>
  <si>
    <t>Barbaracle</t>
  </si>
  <si>
    <t>0690</t>
  </si>
  <si>
    <t>Skrelp</t>
  </si>
  <si>
    <t>0532</t>
  </si>
  <si>
    <t>0810</t>
  </si>
  <si>
    <t>Grookey</t>
  </si>
  <si>
    <t>0811</t>
  </si>
  <si>
    <t>Thwackey</t>
  </si>
  <si>
    <t>0812</t>
  </si>
  <si>
    <t>Rillaboom</t>
  </si>
  <si>
    <t>0813</t>
  </si>
  <si>
    <t>Timburr</t>
  </si>
  <si>
    <t>Scorbunny</t>
  </si>
  <si>
    <t>0533</t>
  </si>
  <si>
    <t>0814</t>
  </si>
  <si>
    <t>Gurdurr</t>
  </si>
  <si>
    <t>0534</t>
  </si>
  <si>
    <t>Raboot</t>
  </si>
  <si>
    <t>Conkeldurr</t>
  </si>
  <si>
    <t>0815</t>
  </si>
  <si>
    <t>0535</t>
  </si>
  <si>
    <t>Cinderace</t>
  </si>
  <si>
    <t>Tympole</t>
  </si>
  <si>
    <t>0816</t>
  </si>
  <si>
    <t>0536</t>
  </si>
  <si>
    <t>Sobble</t>
  </si>
  <si>
    <t>Palpitoed</t>
  </si>
  <si>
    <t>0817</t>
  </si>
  <si>
    <t>0537</t>
  </si>
  <si>
    <t>Drizzile</t>
  </si>
  <si>
    <t>Seismitoed</t>
  </si>
  <si>
    <t>0538</t>
  </si>
  <si>
    <t>Throh</t>
  </si>
  <si>
    <t>0539</t>
  </si>
  <si>
    <t>Sawk</t>
  </si>
  <si>
    <t>0729</t>
  </si>
  <si>
    <t>Brionne</t>
  </si>
  <si>
    <t>0730</t>
  </si>
  <si>
    <t>Primarina</t>
  </si>
  <si>
    <t>0731</t>
  </si>
  <si>
    <t>0691</t>
  </si>
  <si>
    <t>Pikipek</t>
  </si>
  <si>
    <t>Dragalge</t>
  </si>
  <si>
    <t>0732</t>
  </si>
  <si>
    <t>0692</t>
  </si>
  <si>
    <t>Trumbeak</t>
  </si>
  <si>
    <t>Clauncher</t>
  </si>
  <si>
    <t>0733</t>
  </si>
  <si>
    <t>0693</t>
  </si>
  <si>
    <t>Toucannon</t>
  </si>
  <si>
    <t>Clawitzer</t>
  </si>
  <si>
    <t>0734</t>
  </si>
  <si>
    <t>0694</t>
  </si>
  <si>
    <t>Yungoos</t>
  </si>
  <si>
    <t>Helioptile</t>
  </si>
  <si>
    <t>0735</t>
  </si>
  <si>
    <t>0695</t>
  </si>
  <si>
    <t>Gumshoos</t>
  </si>
  <si>
    <t>Heliolisk</t>
  </si>
  <si>
    <t>0736</t>
  </si>
  <si>
    <t>0696</t>
  </si>
  <si>
    <t>Grubbin</t>
  </si>
  <si>
    <t>Tyrunt</t>
  </si>
  <si>
    <t>0697</t>
  </si>
  <si>
    <t>Tyrantrum</t>
  </si>
  <si>
    <t>0698</t>
  </si>
  <si>
    <t>Amaura</t>
  </si>
  <si>
    <t>0699</t>
  </si>
  <si>
    <t>Aurorus</t>
  </si>
  <si>
    <t>0700</t>
  </si>
  <si>
    <t>Sylveon</t>
  </si>
  <si>
    <t>0701</t>
  </si>
  <si>
    <t>Hawlucha</t>
  </si>
  <si>
    <t>0702</t>
  </si>
  <si>
    <t>Dedenne</t>
  </si>
  <si>
    <t>0703</t>
  </si>
  <si>
    <t>Carbink</t>
  </si>
  <si>
    <t>0704</t>
  </si>
  <si>
    <t>Goomy</t>
  </si>
  <si>
    <t>0705</t>
  </si>
  <si>
    <t>Sliggoo</t>
  </si>
  <si>
    <t>0737</t>
  </si>
  <si>
    <t>Charjabug</t>
  </si>
  <si>
    <t>Sliggoo (Hisui)</t>
  </si>
  <si>
    <t>0738</t>
  </si>
  <si>
    <t>Vikavolt</t>
  </si>
  <si>
    <t>0739</t>
  </si>
  <si>
    <t>Crabrawler</t>
  </si>
  <si>
    <t>0740</t>
  </si>
  <si>
    <t>Crabominable</t>
  </si>
  <si>
    <t>0741</t>
  </si>
  <si>
    <t>Oricorio (Baile)</t>
  </si>
  <si>
    <t>Oricorio (Pom-Pom)</t>
  </si>
  <si>
    <t>Oricorio (Pa'u)</t>
  </si>
  <si>
    <t>Oricorio (Sensu)</t>
  </si>
  <si>
    <t>0818</t>
  </si>
  <si>
    <t>Inteleon</t>
  </si>
  <si>
    <t>0819</t>
  </si>
  <si>
    <t>Skwovet</t>
  </si>
  <si>
    <t>0820</t>
  </si>
  <si>
    <t>Greedent</t>
  </si>
  <si>
    <t>0821</t>
  </si>
  <si>
    <t>Rookidee</t>
  </si>
  <si>
    <t>0822</t>
  </si>
  <si>
    <t>Corvisquire</t>
  </si>
  <si>
    <t>0823</t>
  </si>
  <si>
    <t>0540</t>
  </si>
  <si>
    <t>Corviknight</t>
  </si>
  <si>
    <t>0824</t>
  </si>
  <si>
    <t>Sewaddle</t>
  </si>
  <si>
    <t>Blipbug</t>
  </si>
  <si>
    <t>0541</t>
  </si>
  <si>
    <t>0825</t>
  </si>
  <si>
    <t>Swadloon</t>
  </si>
  <si>
    <t>Dottler</t>
  </si>
  <si>
    <t>0542</t>
  </si>
  <si>
    <t>Leavanny</t>
  </si>
  <si>
    <t>0543</t>
  </si>
  <si>
    <t>Venipede</t>
  </si>
  <si>
    <t>0544</t>
  </si>
  <si>
    <t>Whirlipede</t>
  </si>
  <si>
    <t>0545</t>
  </si>
  <si>
    <t>Scolipede</t>
  </si>
  <si>
    <t>0546</t>
  </si>
  <si>
    <t>Cottonee</t>
  </si>
  <si>
    <t>0547</t>
  </si>
  <si>
    <t>Whimsicott</t>
  </si>
  <si>
    <t>0706</t>
  </si>
  <si>
    <t>Goodra</t>
  </si>
  <si>
    <t>Goodra (Hisui)</t>
  </si>
  <si>
    <t>0707</t>
  </si>
  <si>
    <t>Klefki</t>
  </si>
  <si>
    <t>0708</t>
  </si>
  <si>
    <t>Phantump</t>
  </si>
  <si>
    <t>0709</t>
  </si>
  <si>
    <t>Trevenant</t>
  </si>
  <si>
    <t>0710</t>
  </si>
  <si>
    <t>Pumpkaboo (All)</t>
  </si>
  <si>
    <t>0711</t>
  </si>
  <si>
    <t>Gourgeist (All)</t>
  </si>
  <si>
    <t>0712</t>
  </si>
  <si>
    <t>Bergmite</t>
  </si>
  <si>
    <t>0742</t>
  </si>
  <si>
    <t>Cutiefly</t>
  </si>
  <si>
    <t>0743</t>
  </si>
  <si>
    <t>Ribombee</t>
  </si>
  <si>
    <t>0744</t>
  </si>
  <si>
    <t>Rockruff</t>
  </si>
  <si>
    <t>0745</t>
  </si>
  <si>
    <t>Lycanroc (Midday)</t>
  </si>
  <si>
    <t>Lycanroc (Midnight)</t>
  </si>
  <si>
    <t>Lycanroc (Dusk)</t>
  </si>
  <si>
    <t>0746</t>
  </si>
  <si>
    <t>Wishiwashi</t>
  </si>
  <si>
    <t>0747</t>
  </si>
  <si>
    <t>Mareanie</t>
  </si>
  <si>
    <t>0826</t>
  </si>
  <si>
    <t>Orbeetle</t>
  </si>
  <si>
    <t>0827</t>
  </si>
  <si>
    <t>Nickit</t>
  </si>
  <si>
    <t>0828</t>
  </si>
  <si>
    <t>Thievul</t>
  </si>
  <si>
    <t>0829</t>
  </si>
  <si>
    <t>Gossifleur</t>
  </si>
  <si>
    <t>0830</t>
  </si>
  <si>
    <t>Eldegoss</t>
  </si>
  <si>
    <t>0831</t>
  </si>
  <si>
    <t>Wooloo</t>
  </si>
  <si>
    <t>0832</t>
  </si>
  <si>
    <t>Dubwool</t>
  </si>
  <si>
    <t>0833</t>
  </si>
  <si>
    <t>0713</t>
  </si>
  <si>
    <t>Chewtle</t>
  </si>
  <si>
    <t>Avalugg</t>
  </si>
  <si>
    <t>Avalugg (Hisui)</t>
  </si>
  <si>
    <t>0714</t>
  </si>
  <si>
    <t>Noibat</t>
  </si>
  <si>
    <t>0715</t>
  </si>
  <si>
    <t>Noivern</t>
  </si>
  <si>
    <t>0716</t>
  </si>
  <si>
    <t>Xerneas</t>
  </si>
  <si>
    <t>0717</t>
  </si>
  <si>
    <t>Yveltal</t>
  </si>
  <si>
    <t>0718</t>
  </si>
  <si>
    <t>Zygarde (50%)</t>
  </si>
  <si>
    <t>Zygarde (10%)</t>
  </si>
  <si>
    <t>0748</t>
  </si>
  <si>
    <t>Toxapex</t>
  </si>
  <si>
    <t>0749</t>
  </si>
  <si>
    <t>Mudbray</t>
  </si>
  <si>
    <t>0750</t>
  </si>
  <si>
    <t>Mudsdale</t>
  </si>
  <si>
    <t>0751</t>
  </si>
  <si>
    <t>Dewpider</t>
  </si>
  <si>
    <t>0752</t>
  </si>
  <si>
    <t>Araquanid</t>
  </si>
  <si>
    <t>0753</t>
  </si>
  <si>
    <t>Fomantis</t>
  </si>
  <si>
    <t>0754</t>
  </si>
  <si>
    <t>Lurantis</t>
  </si>
  <si>
    <t>0755</t>
  </si>
  <si>
    <t>Morelull</t>
  </si>
  <si>
    <t>0548</t>
  </si>
  <si>
    <t>Petilil</t>
  </si>
  <si>
    <t>0549</t>
  </si>
  <si>
    <t>Lilligant</t>
  </si>
  <si>
    <t>Lilligant (Hisui)</t>
  </si>
  <si>
    <t>0550</t>
  </si>
  <si>
    <r>
      <rPr>
        <rFont val="Trebuchet MS"/>
        <color rgb="FFFFFFFF"/>
        <sz val="9.0"/>
      </rPr>
      <t>Basculin</t>
    </r>
    <r>
      <rPr>
        <rFont val="Trebuchet MS"/>
        <color rgb="FFFFFFFF"/>
        <sz val="7.0"/>
      </rPr>
      <t xml:space="preserve"> (Red-Striped)</t>
    </r>
  </si>
  <si>
    <r>
      <rPr>
        <rFont val="Trebuchet MS"/>
        <color rgb="FFFFFFFF"/>
        <sz val="9.0"/>
      </rPr>
      <t>Basculin</t>
    </r>
    <r>
      <rPr>
        <rFont val="Trebuchet MS"/>
        <color rgb="FFFFFFFF"/>
        <sz val="7.0"/>
      </rPr>
      <t xml:space="preserve"> (Blue-Striped)</t>
    </r>
  </si>
  <si>
    <r>
      <rPr>
        <rFont val="Trebuchet MS"/>
        <color rgb="FFFFFFFF"/>
        <sz val="8.0"/>
      </rPr>
      <t>Basculin</t>
    </r>
    <r>
      <rPr>
        <rFont val="Trebuchet MS"/>
        <color rgb="FFFFFFFF"/>
        <sz val="7.0"/>
      </rPr>
      <t xml:space="preserve"> (White-Striped)</t>
    </r>
  </si>
  <si>
    <t>0551</t>
  </si>
  <si>
    <t>Sandile</t>
  </si>
  <si>
    <t>0552</t>
  </si>
  <si>
    <t>Krokorok</t>
  </si>
  <si>
    <t>0719</t>
  </si>
  <si>
    <t>Diancie</t>
  </si>
  <si>
    <t>0720</t>
  </si>
  <si>
    <t>Hoopa (Confined)</t>
  </si>
  <si>
    <t>Hoopa (Unbound)</t>
  </si>
  <si>
    <t>0721</t>
  </si>
  <si>
    <t>Volcanion</t>
  </si>
  <si>
    <t>0834</t>
  </si>
  <si>
    <t>Drednaw</t>
  </si>
  <si>
    <t>0835</t>
  </si>
  <si>
    <t>Yamper</t>
  </si>
  <si>
    <t>0836</t>
  </si>
  <si>
    <t>Boltund</t>
  </si>
  <si>
    <t>0837</t>
  </si>
  <si>
    <t>Rolycoly</t>
  </si>
  <si>
    <t>0838</t>
  </si>
  <si>
    <t>Carkol</t>
  </si>
  <si>
    <t>0839</t>
  </si>
  <si>
    <t>Coalossal</t>
  </si>
  <si>
    <t>0840</t>
  </si>
  <si>
    <t>Applin</t>
  </si>
  <si>
    <t>0841</t>
  </si>
  <si>
    <t>Flapple</t>
  </si>
  <si>
    <t>0756</t>
  </si>
  <si>
    <t>Shiinotic</t>
  </si>
  <si>
    <t>0757</t>
  </si>
  <si>
    <t>Salandit</t>
  </si>
  <si>
    <t>0758</t>
  </si>
  <si>
    <t>Salazzle</t>
  </si>
  <si>
    <t>0759</t>
  </si>
  <si>
    <t>Stufful</t>
  </si>
  <si>
    <t>0760</t>
  </si>
  <si>
    <t>Bewear</t>
  </si>
  <si>
    <t>0761</t>
  </si>
  <si>
    <t>Bounsweet</t>
  </si>
  <si>
    <t>0762</t>
  </si>
  <si>
    <t>Steenee</t>
  </si>
  <si>
    <t>0763</t>
  </si>
  <si>
    <t>Tsareena</t>
  </si>
  <si>
    <t>0906</t>
  </si>
  <si>
    <t>Sprigatito</t>
  </si>
  <si>
    <t>0907</t>
  </si>
  <si>
    <t>Floragato</t>
  </si>
  <si>
    <t>0908</t>
  </si>
  <si>
    <t>0842</t>
  </si>
  <si>
    <t>Appletun</t>
  </si>
  <si>
    <t>Meowscarada</t>
  </si>
  <si>
    <t>0843</t>
  </si>
  <si>
    <t>0909</t>
  </si>
  <si>
    <t>Silicobra</t>
  </si>
  <si>
    <t>0844</t>
  </si>
  <si>
    <t>Fuecoco</t>
  </si>
  <si>
    <t>Sandaconda</t>
  </si>
  <si>
    <t>0910</t>
  </si>
  <si>
    <t>0845</t>
  </si>
  <si>
    <t>Cramorant</t>
  </si>
  <si>
    <t>Crocalor</t>
  </si>
  <si>
    <t>0846</t>
  </si>
  <si>
    <t>Arrokuda</t>
  </si>
  <si>
    <t>0911</t>
  </si>
  <si>
    <t>0847</t>
  </si>
  <si>
    <t>Skeledirge</t>
  </si>
  <si>
    <t>Barraskewda</t>
  </si>
  <si>
    <t>0912</t>
  </si>
  <si>
    <t>0848</t>
  </si>
  <si>
    <t>Quaxly</t>
  </si>
  <si>
    <t>Toxel</t>
  </si>
  <si>
    <t>0913</t>
  </si>
  <si>
    <t>0849</t>
  </si>
  <si>
    <t>Quaxwell</t>
  </si>
  <si>
    <t>Toxtricity (Amped)</t>
  </si>
  <si>
    <t>0553</t>
  </si>
  <si>
    <t>Krookodile</t>
  </si>
  <si>
    <t>0554</t>
  </si>
  <si>
    <t>Darumaka</t>
  </si>
  <si>
    <t>Darumaka (Galar)</t>
  </si>
  <si>
    <t>0555</t>
  </si>
  <si>
    <t>0764</t>
  </si>
  <si>
    <t>Darmanitan</t>
  </si>
  <si>
    <t>Comfey</t>
  </si>
  <si>
    <t>0765</t>
  </si>
  <si>
    <t>Oranguru</t>
  </si>
  <si>
    <t>0766</t>
  </si>
  <si>
    <t>Darmanitan (Galar)</t>
  </si>
  <si>
    <t>Passimian</t>
  </si>
  <si>
    <t>0767</t>
  </si>
  <si>
    <t>0556</t>
  </si>
  <si>
    <t>Wimpod</t>
  </si>
  <si>
    <t>0768</t>
  </si>
  <si>
    <t>Maractus</t>
  </si>
  <si>
    <t>Golisopod</t>
  </si>
  <si>
    <t>0557</t>
  </si>
  <si>
    <t>0769</t>
  </si>
  <si>
    <t>Sandygast</t>
  </si>
  <si>
    <t>Dwebble</t>
  </si>
  <si>
    <t>0770</t>
  </si>
  <si>
    <t>Palossand</t>
  </si>
  <si>
    <t>0558</t>
  </si>
  <si>
    <t>0771</t>
  </si>
  <si>
    <t>Pyukumuku</t>
  </si>
  <si>
    <t>Crustle</t>
  </si>
  <si>
    <t>0914</t>
  </si>
  <si>
    <t>Quaquaval</t>
  </si>
  <si>
    <t>0915</t>
  </si>
  <si>
    <t>Lechonk</t>
  </si>
  <si>
    <t>0916</t>
  </si>
  <si>
    <t>Oinkologne (Male)</t>
  </si>
  <si>
    <t>Oinkologne (Female)</t>
  </si>
  <si>
    <t>0917</t>
  </si>
  <si>
    <t>Tarountula</t>
  </si>
  <si>
    <t>0918</t>
  </si>
  <si>
    <t>Spidops</t>
  </si>
  <si>
    <t>0919</t>
  </si>
  <si>
    <t>Nymble</t>
  </si>
  <si>
    <t>0920</t>
  </si>
  <si>
    <t>Lokix</t>
  </si>
  <si>
    <r>
      <rPr>
        <rFont val="Trebuchet MS"/>
        <color rgb="FFFFFFFF"/>
        <sz val="9.0"/>
      </rPr>
      <t xml:space="preserve">Toxtricity </t>
    </r>
    <r>
      <rPr>
        <rFont val="Trebuchet MS"/>
        <color rgb="FFFFFFFF"/>
        <sz val="8.0"/>
      </rPr>
      <t>(Low Key)</t>
    </r>
  </si>
  <si>
    <t>0850</t>
  </si>
  <si>
    <t>Sizzlipede</t>
  </si>
  <si>
    <t>0851</t>
  </si>
  <si>
    <t>Centiskorch</t>
  </si>
  <si>
    <t>0852</t>
  </si>
  <si>
    <t>Clobbopus</t>
  </si>
  <si>
    <t>0853</t>
  </si>
  <si>
    <t>Grapploct</t>
  </si>
  <si>
    <t>0854</t>
  </si>
  <si>
    <t>Sinistea (Both)</t>
  </si>
  <si>
    <t>0855</t>
  </si>
  <si>
    <t>Polteageist (Both)</t>
  </si>
  <si>
    <t>0856</t>
  </si>
  <si>
    <t>Hatenna</t>
  </si>
  <si>
    <t>0772</t>
  </si>
  <si>
    <t>Type: Null</t>
  </si>
  <si>
    <t>0773</t>
  </si>
  <si>
    <t>Silvally (All)</t>
  </si>
  <si>
    <t>0774</t>
  </si>
  <si>
    <t>Minior (Red)</t>
  </si>
  <si>
    <t>Minior (Orange)</t>
  </si>
  <si>
    <t>Minior (Yellow)</t>
  </si>
  <si>
    <t>Minior (Green)</t>
  </si>
  <si>
    <t>Minior (Blue)</t>
  </si>
  <si>
    <t>Minior (Indigo)</t>
  </si>
  <si>
    <t>0559</t>
  </si>
  <si>
    <t>Scraggy</t>
  </si>
  <si>
    <t>0560</t>
  </si>
  <si>
    <t>Scrafty</t>
  </si>
  <si>
    <t>0561</t>
  </si>
  <si>
    <t>Sigilyph</t>
  </si>
  <si>
    <t>0921</t>
  </si>
  <si>
    <t>0562</t>
  </si>
  <si>
    <t>Pawmi</t>
  </si>
  <si>
    <t>0922</t>
  </si>
  <si>
    <t>Yamask</t>
  </si>
  <si>
    <t>Pawmo</t>
  </si>
  <si>
    <t>0923</t>
  </si>
  <si>
    <t>Pawmot</t>
  </si>
  <si>
    <t>Yamask (Galar)</t>
  </si>
  <si>
    <t>0924</t>
  </si>
  <si>
    <t>Tandemaus</t>
  </si>
  <si>
    <t>0563</t>
  </si>
  <si>
    <t>0925</t>
  </si>
  <si>
    <t>Maushold (Both)</t>
  </si>
  <si>
    <t>Cofagrigus</t>
  </si>
  <si>
    <t>0926</t>
  </si>
  <si>
    <t>Fidough</t>
  </si>
  <si>
    <t>0564</t>
  </si>
  <si>
    <t>0927</t>
  </si>
  <si>
    <t>Dachsbun</t>
  </si>
  <si>
    <t>Tirtouga</t>
  </si>
  <si>
    <t>0928</t>
  </si>
  <si>
    <t>0565</t>
  </si>
  <si>
    <t>Smoliv</t>
  </si>
  <si>
    <t>Carracosta</t>
  </si>
  <si>
    <t>Minior (Violet)</t>
  </si>
  <si>
    <t>0775</t>
  </si>
  <si>
    <t>Komala</t>
  </si>
  <si>
    <t>0776</t>
  </si>
  <si>
    <t>Turtonator</t>
  </si>
  <si>
    <t>0777</t>
  </si>
  <si>
    <t>Togedemaru</t>
  </si>
  <si>
    <t>0778</t>
  </si>
  <si>
    <t>Mimikyu</t>
  </si>
  <si>
    <t>0779</t>
  </si>
  <si>
    <t>Bruxish</t>
  </si>
  <si>
    <t>0780</t>
  </si>
  <si>
    <t>Drampa</t>
  </si>
  <si>
    <t>0781</t>
  </si>
  <si>
    <t>0857</t>
  </si>
  <si>
    <t>Dhelmise</t>
  </si>
  <si>
    <t>Hattrem</t>
  </si>
  <si>
    <t>0858</t>
  </si>
  <si>
    <t>Hatterene</t>
  </si>
  <si>
    <t>0859</t>
  </si>
  <si>
    <t>Impidimp</t>
  </si>
  <si>
    <t>0860</t>
  </si>
  <si>
    <t>Morgrem</t>
  </si>
  <si>
    <t>0861</t>
  </si>
  <si>
    <t>Grimmsnarl</t>
  </si>
  <si>
    <t>0862</t>
  </si>
  <si>
    <t>Obstagoon</t>
  </si>
  <si>
    <t>0863</t>
  </si>
  <si>
    <t>Perrserker</t>
  </si>
  <si>
    <t>0864</t>
  </si>
  <si>
    <t>Cursola</t>
  </si>
  <si>
    <t>0929</t>
  </si>
  <si>
    <t>Dolliv</t>
  </si>
  <si>
    <t>0930</t>
  </si>
  <si>
    <t>Arboliva</t>
  </si>
  <si>
    <t>0931</t>
  </si>
  <si>
    <r>
      <rPr>
        <rFont val="Trebuchet MS"/>
        <color rgb="FFFFFFFF"/>
        <sz val="9.0"/>
      </rPr>
      <t>Squawkabilly</t>
    </r>
    <r>
      <rPr>
        <rFont val="Trebuchet MS"/>
        <color rgb="FFFFFFFF"/>
        <sz val="7.0"/>
      </rPr>
      <t xml:space="preserve"> (Green)</t>
    </r>
  </si>
  <si>
    <r>
      <rPr>
        <rFont val="Trebuchet MS"/>
        <color rgb="FFFFFFFF"/>
        <sz val="9.0"/>
      </rPr>
      <t>Squawkabilly</t>
    </r>
    <r>
      <rPr>
        <rFont val="Trebuchet MS"/>
        <color rgb="FFFFFFFF"/>
        <sz val="7.0"/>
      </rPr>
      <t xml:space="preserve"> (Blue)</t>
    </r>
  </si>
  <si>
    <r>
      <rPr>
        <rFont val="Trebuchet MS"/>
        <color rgb="FFFFFFFF"/>
        <sz val="9.0"/>
      </rPr>
      <t>Squawkabilly</t>
    </r>
    <r>
      <rPr>
        <rFont val="Trebuchet MS"/>
        <color rgb="FFFFFFFF"/>
        <sz val="7.0"/>
      </rPr>
      <t xml:space="preserve"> (Yellow)</t>
    </r>
  </si>
  <si>
    <r>
      <rPr>
        <rFont val="Trebuchet MS"/>
        <color rgb="FFFFFFFF"/>
        <sz val="9.0"/>
      </rPr>
      <t>Squawkabilly</t>
    </r>
    <r>
      <rPr>
        <rFont val="Trebuchet MS"/>
        <color rgb="FFFFFFFF"/>
        <sz val="7.0"/>
      </rPr>
      <t xml:space="preserve"> (White)</t>
    </r>
  </si>
  <si>
    <t>0932</t>
  </si>
  <si>
    <t>Nacli</t>
  </si>
  <si>
    <t>0933</t>
  </si>
  <si>
    <t>Naclstack</t>
  </si>
  <si>
    <t>0782</t>
  </si>
  <si>
    <t>Jangmo-o</t>
  </si>
  <si>
    <t>0783</t>
  </si>
  <si>
    <t>Hakamo-o</t>
  </si>
  <si>
    <t>0784</t>
  </si>
  <si>
    <t>Kommo-o</t>
  </si>
  <si>
    <t>0785</t>
  </si>
  <si>
    <t>Tapu Koko</t>
  </si>
  <si>
    <t>0786</t>
  </si>
  <si>
    <t>Tapu Lele</t>
  </si>
  <si>
    <t>0787</t>
  </si>
  <si>
    <t>Tapu Bulu</t>
  </si>
  <si>
    <t>0788</t>
  </si>
  <si>
    <t>Tapu Fini</t>
  </si>
  <si>
    <t>0789</t>
  </si>
  <si>
    <t>Cosmog</t>
  </si>
  <si>
    <t>0865</t>
  </si>
  <si>
    <t>Sirfetch'd</t>
  </si>
  <si>
    <t>0866</t>
  </si>
  <si>
    <t>Mr. Rime</t>
  </si>
  <si>
    <t>0867</t>
  </si>
  <si>
    <t>Runerigus</t>
  </si>
  <si>
    <t>0868</t>
  </si>
  <si>
    <t>Milcery</t>
  </si>
  <si>
    <t>0869</t>
  </si>
  <si>
    <t>Alcremie</t>
  </si>
  <si>
    <t>0870</t>
  </si>
  <si>
    <t>Falinks</t>
  </si>
  <si>
    <t>0871</t>
  </si>
  <si>
    <t>Pincurchin</t>
  </si>
  <si>
    <t>0872</t>
  </si>
  <si>
    <t>Snom</t>
  </si>
  <si>
    <t>Alcremie Forms tab</t>
  </si>
  <si>
    <t>0566</t>
  </si>
  <si>
    <t>Archen</t>
  </si>
  <si>
    <t>0567</t>
  </si>
  <si>
    <t>Archeops</t>
  </si>
  <si>
    <t>0568</t>
  </si>
  <si>
    <t>Trubbish</t>
  </si>
  <si>
    <t>0569</t>
  </si>
  <si>
    <t>Garbodor</t>
  </si>
  <si>
    <t>0570</t>
  </si>
  <si>
    <t>Zorua</t>
  </si>
  <si>
    <t>Zorua (Hisui)</t>
  </si>
  <si>
    <t>0571</t>
  </si>
  <si>
    <t>Zoroark</t>
  </si>
  <si>
    <t>Zoroark (Hisui)</t>
  </si>
  <si>
    <t>0934</t>
  </si>
  <si>
    <t>Garganacl</t>
  </si>
  <si>
    <t>0935</t>
  </si>
  <si>
    <t>Charcadet</t>
  </si>
  <si>
    <t>0936</t>
  </si>
  <si>
    <t>Armarouge</t>
  </si>
  <si>
    <t>0937</t>
  </si>
  <si>
    <t>Ceruledge</t>
  </si>
  <si>
    <t>0938</t>
  </si>
  <si>
    <t>Tadbulb</t>
  </si>
  <si>
    <t>0939</t>
  </si>
  <si>
    <t>Bellibolt</t>
  </si>
  <si>
    <t>0940</t>
  </si>
  <si>
    <t>Wattrel</t>
  </si>
  <si>
    <t>0941</t>
  </si>
  <si>
    <t>Kilowattrel</t>
  </si>
  <si>
    <t>0790</t>
  </si>
  <si>
    <t>Cosmoem</t>
  </si>
  <si>
    <t>0791</t>
  </si>
  <si>
    <t>Solgaleo</t>
  </si>
  <si>
    <t>0792</t>
  </si>
  <si>
    <t>Lunala</t>
  </si>
  <si>
    <t>0793</t>
  </si>
  <si>
    <t>Nihilego</t>
  </si>
  <si>
    <t>0794</t>
  </si>
  <si>
    <t>Buzzwole</t>
  </si>
  <si>
    <t>0795</t>
  </si>
  <si>
    <t>Pheromosa</t>
  </si>
  <si>
    <t>0796</t>
  </si>
  <si>
    <t>Xurkitree</t>
  </si>
  <si>
    <t>0797</t>
  </si>
  <si>
    <t>Celesteela</t>
  </si>
  <si>
    <t>0873</t>
  </si>
  <si>
    <t>Frosmoth</t>
  </si>
  <si>
    <t>0874</t>
  </si>
  <si>
    <t>Stonjourner</t>
  </si>
  <si>
    <t>0875</t>
  </si>
  <si>
    <t>Eiscue</t>
  </si>
  <si>
    <t>0876</t>
  </si>
  <si>
    <t>Indeedee (Male)</t>
  </si>
  <si>
    <t>Indeedee (Female)</t>
  </si>
  <si>
    <t>0877</t>
  </si>
  <si>
    <t>Morpeko</t>
  </si>
  <si>
    <t>0878</t>
  </si>
  <si>
    <t>Cufant</t>
  </si>
  <si>
    <t>0879</t>
  </si>
  <si>
    <t>Copperajah</t>
  </si>
  <si>
    <t>0572</t>
  </si>
  <si>
    <t>Minccino</t>
  </si>
  <si>
    <t>0573</t>
  </si>
  <si>
    <t>Cinccino</t>
  </si>
  <si>
    <t>0574</t>
  </si>
  <si>
    <t>Gothita</t>
  </si>
  <si>
    <t>0575</t>
  </si>
  <si>
    <t>Gothorita</t>
  </si>
  <si>
    <t>0576</t>
  </si>
  <si>
    <t>Gothitelle</t>
  </si>
  <si>
    <t>0577</t>
  </si>
  <si>
    <t>Solosis</t>
  </si>
  <si>
    <t>0578</t>
  </si>
  <si>
    <t>Duosion</t>
  </si>
  <si>
    <t>0579</t>
  </si>
  <si>
    <t>Reuniclus</t>
  </si>
  <si>
    <t>0942</t>
  </si>
  <si>
    <t>Maschiff</t>
  </si>
  <si>
    <t>0943</t>
  </si>
  <si>
    <t>Mabosstiff</t>
  </si>
  <si>
    <t>0944</t>
  </si>
  <si>
    <t>Shroodle</t>
  </si>
  <si>
    <t>0945</t>
  </si>
  <si>
    <t>Grafaiai</t>
  </si>
  <si>
    <t>0946</t>
  </si>
  <si>
    <t>Bramblin</t>
  </si>
  <si>
    <t>0947</t>
  </si>
  <si>
    <t>Brambleghast</t>
  </si>
  <si>
    <t>0948</t>
  </si>
  <si>
    <t>Toedscool</t>
  </si>
  <si>
    <t>0949</t>
  </si>
  <si>
    <t>Toedscruel</t>
  </si>
  <si>
    <t>0798</t>
  </si>
  <si>
    <t>Kartana</t>
  </si>
  <si>
    <t>0799</t>
  </si>
  <si>
    <t>Guzzlord</t>
  </si>
  <si>
    <t>0800</t>
  </si>
  <si>
    <t>Necrozma</t>
  </si>
  <si>
    <r>
      <rPr>
        <rFont val="Trebuchet MS"/>
        <color rgb="FFFFFFFF"/>
        <sz val="8.0"/>
      </rPr>
      <t xml:space="preserve">Necrozma </t>
    </r>
    <r>
      <rPr>
        <rFont val="Trebuchet MS"/>
        <color rgb="FFFFFFFF"/>
        <sz val="7.0"/>
      </rPr>
      <t>(Dusk Mane)</t>
    </r>
  </si>
  <si>
    <r>
      <rPr>
        <rFont val="Trebuchet MS"/>
        <color rgb="FFFFFFFF"/>
        <sz val="8.0"/>
      </rPr>
      <t xml:space="preserve">Necrozma </t>
    </r>
    <r>
      <rPr>
        <rFont val="Trebuchet MS"/>
        <color rgb="FFFFFFFF"/>
        <sz val="7.0"/>
      </rPr>
      <t>(Dawn Wings)</t>
    </r>
  </si>
  <si>
    <t>0801</t>
  </si>
  <si>
    <t>Magearna</t>
  </si>
  <si>
    <t>Magearna (Original)</t>
  </si>
  <si>
    <t>0802</t>
  </si>
  <si>
    <t>Marshadow</t>
  </si>
  <si>
    <t>0880</t>
  </si>
  <si>
    <t>Dracozolt</t>
  </si>
  <si>
    <t>0881</t>
  </si>
  <si>
    <t>Arctozolt</t>
  </si>
  <si>
    <t>0882</t>
  </si>
  <si>
    <t>Dracovish</t>
  </si>
  <si>
    <t>0883</t>
  </si>
  <si>
    <t>Arctovish</t>
  </si>
  <si>
    <t>0884</t>
  </si>
  <si>
    <t>Duraludon</t>
  </si>
  <si>
    <t>0885</t>
  </si>
  <si>
    <t>Dreepy</t>
  </si>
  <si>
    <t>0886</t>
  </si>
  <si>
    <t>Drakloak</t>
  </si>
  <si>
    <t>0887</t>
  </si>
  <si>
    <t>Dragapult</t>
  </si>
  <si>
    <t>0580</t>
  </si>
  <si>
    <t>Ducklett</t>
  </si>
  <si>
    <t>0581</t>
  </si>
  <si>
    <t>Swanna</t>
  </si>
  <si>
    <t>0950</t>
  </si>
  <si>
    <t>0582</t>
  </si>
  <si>
    <t>Klawf</t>
  </si>
  <si>
    <t>Vanillite</t>
  </si>
  <si>
    <t>0951</t>
  </si>
  <si>
    <t>0583</t>
  </si>
  <si>
    <t>Capsakid</t>
  </si>
  <si>
    <t>Vanillish</t>
  </si>
  <si>
    <t>0952</t>
  </si>
  <si>
    <t>0584</t>
  </si>
  <si>
    <t>Scovillain</t>
  </si>
  <si>
    <t>Vanilluxe</t>
  </si>
  <si>
    <t>0953</t>
  </si>
  <si>
    <t>Rellor</t>
  </si>
  <si>
    <t>0585</t>
  </si>
  <si>
    <t>0954</t>
  </si>
  <si>
    <t>Deerling (Spring)</t>
  </si>
  <si>
    <t>Rabsca</t>
  </si>
  <si>
    <t>0955</t>
  </si>
  <si>
    <t>Deerling (Summer)</t>
  </si>
  <si>
    <t>Flittle</t>
  </si>
  <si>
    <t>0956</t>
  </si>
  <si>
    <t>Espathra</t>
  </si>
  <si>
    <t>Deerling (Autumn)</t>
  </si>
  <si>
    <t>0957</t>
  </si>
  <si>
    <t>Tinkatink</t>
  </si>
  <si>
    <t>0803</t>
  </si>
  <si>
    <t>Poipole</t>
  </si>
  <si>
    <t>0804</t>
  </si>
  <si>
    <t>Naganadel</t>
  </si>
  <si>
    <t>0805</t>
  </si>
  <si>
    <t>Stakataka</t>
  </si>
  <si>
    <t>0806</t>
  </si>
  <si>
    <t>Blacephalon</t>
  </si>
  <si>
    <t>0807</t>
  </si>
  <si>
    <t>Zeraora</t>
  </si>
  <si>
    <t>0808</t>
  </si>
  <si>
    <t>Meltan</t>
  </si>
  <si>
    <t>0809</t>
  </si>
  <si>
    <t>Melmetal</t>
  </si>
  <si>
    <t>0888</t>
  </si>
  <si>
    <t>Zacian (Both)</t>
  </si>
  <si>
    <t>0889</t>
  </si>
  <si>
    <t>Zamazenta (Both)</t>
  </si>
  <si>
    <t>0890</t>
  </si>
  <si>
    <t>Eternatus</t>
  </si>
  <si>
    <t>0891</t>
  </si>
  <si>
    <t>Kubfu</t>
  </si>
  <si>
    <t>0892</t>
  </si>
  <si>
    <r>
      <rPr>
        <rFont val="Trebuchet MS"/>
        <color rgb="FFFFFFFF"/>
        <sz val="9.0"/>
      </rPr>
      <t>Urshifu</t>
    </r>
    <r>
      <rPr>
        <rFont val="Trebuchet MS"/>
        <color rgb="FFFFFFFF"/>
        <sz val="7.0"/>
      </rPr>
      <t xml:space="preserve"> (Single Strike)</t>
    </r>
  </si>
  <si>
    <r>
      <rPr>
        <rFont val="Trebuchet MS"/>
        <color rgb="FFFFFFFF"/>
        <sz val="9.0"/>
      </rPr>
      <t>Urshifu</t>
    </r>
    <r>
      <rPr>
        <rFont val="Trebuchet MS"/>
        <color rgb="FFFFFFFF"/>
        <sz val="7.0"/>
      </rPr>
      <t xml:space="preserve"> (Rapid Strike)</t>
    </r>
  </si>
  <si>
    <t>0893</t>
  </si>
  <si>
    <t>Zarude (Both)</t>
  </si>
  <si>
    <t>0894</t>
  </si>
  <si>
    <t>Regieleki</t>
  </si>
  <si>
    <t>0958</t>
  </si>
  <si>
    <t>Tinkatuff</t>
  </si>
  <si>
    <t>0959</t>
  </si>
  <si>
    <t>Tinkaton</t>
  </si>
  <si>
    <t>0960</t>
  </si>
  <si>
    <t>Wiglett</t>
  </si>
  <si>
    <t>0961</t>
  </si>
  <si>
    <t>Deerling (Winter)</t>
  </si>
  <si>
    <t>Wugtrio</t>
  </si>
  <si>
    <t>0586</t>
  </si>
  <si>
    <t>0962</t>
  </si>
  <si>
    <t>Sawsbuck (Spring)</t>
  </si>
  <si>
    <t>Bombirdier</t>
  </si>
  <si>
    <t>0963</t>
  </si>
  <si>
    <t>Finizen</t>
  </si>
  <si>
    <t>Sawsbuck (Summer)</t>
  </si>
  <si>
    <t>0964</t>
  </si>
  <si>
    <t>Palafin</t>
  </si>
  <si>
    <t>Sawsbuck (Autumn)</t>
  </si>
  <si>
    <t>0965</t>
  </si>
  <si>
    <t>Varoom</t>
  </si>
  <si>
    <t>Sawsbuck (Winter)</t>
  </si>
  <si>
    <t>0587</t>
  </si>
  <si>
    <t>Emolga</t>
  </si>
  <si>
    <t>0588</t>
  </si>
  <si>
    <t>Karrablast</t>
  </si>
  <si>
    <t>0589</t>
  </si>
  <si>
    <t>Escavalier</t>
  </si>
  <si>
    <t>0895</t>
  </si>
  <si>
    <t>Regidrago</t>
  </si>
  <si>
    <t>0896</t>
  </si>
  <si>
    <t>Glastrier</t>
  </si>
  <si>
    <t>0897</t>
  </si>
  <si>
    <t>Spectrier</t>
  </si>
  <si>
    <t>0898</t>
  </si>
  <si>
    <t>Calyrex</t>
  </si>
  <si>
    <r>
      <rPr>
        <rFont val="Trebuchet MS"/>
        <color rgb="FFFFFFFF"/>
        <sz val="9.0"/>
      </rPr>
      <t>Calyrex</t>
    </r>
    <r>
      <rPr>
        <rFont val="Trebuchet MS"/>
        <color rgb="FFFFFFFF"/>
        <sz val="7.0"/>
      </rPr>
      <t xml:space="preserve"> (Ice Rider)</t>
    </r>
  </si>
  <si>
    <r>
      <rPr>
        <rFont val="Trebuchet MS"/>
        <color rgb="FFFFFFFF"/>
        <sz val="9.0"/>
      </rPr>
      <t>Calyrex</t>
    </r>
    <r>
      <rPr>
        <rFont val="Trebuchet MS"/>
        <color rgb="FFFFFFFF"/>
        <sz val="7.0"/>
      </rPr>
      <t xml:space="preserve"> (Shadow Rider)</t>
    </r>
  </si>
  <si>
    <t>0899</t>
  </si>
  <si>
    <t>Wyrdeer</t>
  </si>
  <si>
    <t>0900</t>
  </si>
  <si>
    <t>Kleavor</t>
  </si>
  <si>
    <t>NOTE: Vivillon matching balls were chosen such that each option is unique to that form.</t>
  </si>
  <si>
    <t>Archipelago</t>
  </si>
  <si>
    <t>Continental</t>
  </si>
  <si>
    <t>Elegant</t>
  </si>
  <si>
    <t>Garden</t>
  </si>
  <si>
    <t>High Plains</t>
  </si>
  <si>
    <t>Icy Snow</t>
  </si>
  <si>
    <t>Jungle</t>
  </si>
  <si>
    <t>Marine</t>
  </si>
  <si>
    <t>Meadow</t>
  </si>
  <si>
    <t>0966</t>
  </si>
  <si>
    <t>Modern</t>
  </si>
  <si>
    <t>Revavroom</t>
  </si>
  <si>
    <t>Monsoon</t>
  </si>
  <si>
    <t>0967</t>
  </si>
  <si>
    <t>Cyclizar</t>
  </si>
  <si>
    <t>Ocean</t>
  </si>
  <si>
    <t>0968</t>
  </si>
  <si>
    <t>Orthworm</t>
  </si>
  <si>
    <t>Polar</t>
  </si>
  <si>
    <t>0969</t>
  </si>
  <si>
    <t>Glimmet</t>
  </si>
  <si>
    <t>River</t>
  </si>
  <si>
    <t>0970</t>
  </si>
  <si>
    <t>Glimmora</t>
  </si>
  <si>
    <t>0971</t>
  </si>
  <si>
    <t>Greavard</t>
  </si>
  <si>
    <t>0972</t>
  </si>
  <si>
    <t>Houndstone</t>
  </si>
  <si>
    <t>0973</t>
  </si>
  <si>
    <t>Flamigo</t>
  </si>
  <si>
    <t>0590</t>
  </si>
  <si>
    <t>Foongus</t>
  </si>
  <si>
    <t>0591</t>
  </si>
  <si>
    <t>Amoonguss</t>
  </si>
  <si>
    <t>0592</t>
  </si>
  <si>
    <t>Frillish (Male)</t>
  </si>
  <si>
    <t>Frillish (Female)</t>
  </si>
  <si>
    <t>0593</t>
  </si>
  <si>
    <t>Jellicent (Male)</t>
  </si>
  <si>
    <t>Jellicent (Female)</t>
  </si>
  <si>
    <t>0594</t>
  </si>
  <si>
    <t>Alomomola</t>
  </si>
  <si>
    <t>0595</t>
  </si>
  <si>
    <t>Joltik</t>
  </si>
  <si>
    <t>0901</t>
  </si>
  <si>
    <t>Ursaluna</t>
  </si>
  <si>
    <r>
      <rPr>
        <rFont val="Trebuchet MS"/>
        <color rgb="FFFFFFFF"/>
        <sz val="8.0"/>
      </rPr>
      <t>Ursaluna</t>
    </r>
    <r>
      <rPr>
        <rFont val="Trebuchet MS"/>
        <color rgb="FFFFFFFF"/>
        <sz val="7.0"/>
      </rPr>
      <t xml:space="preserve"> (Bloodmoon)</t>
    </r>
  </si>
  <si>
    <t>0902</t>
  </si>
  <si>
    <t>Basculegion (Male)</t>
  </si>
  <si>
    <t>Basculegion (Female)</t>
  </si>
  <si>
    <t>0903</t>
  </si>
  <si>
    <t>Sneasler</t>
  </si>
  <si>
    <t>0904</t>
  </si>
  <si>
    <t>Overqwil</t>
  </si>
  <si>
    <t>0905</t>
  </si>
  <si>
    <t>Sandstorm</t>
  </si>
  <si>
    <t>Enamorus (Incarnate)</t>
  </si>
  <si>
    <t>Savanna</t>
  </si>
  <si>
    <t>Sun</t>
  </si>
  <si>
    <r>
      <rPr>
        <rFont val="Trebuchet MS"/>
        <color rgb="FFFFFFFF"/>
        <sz val="9.0"/>
      </rPr>
      <t>Enamorus</t>
    </r>
    <r>
      <rPr>
        <rFont val="Trebuchet MS"/>
        <color rgb="FFFFFFFF"/>
        <sz val="8.0"/>
      </rPr>
      <t xml:space="preserve"> (Therian)</t>
    </r>
  </si>
  <si>
    <t>Tundra</t>
  </si>
  <si>
    <t>Fancy</t>
  </si>
  <si>
    <t>★ (Example Shiny)</t>
  </si>
  <si>
    <t>Same balls as non-shiny forms</t>
  </si>
  <si>
    <t>0974</t>
  </si>
  <si>
    <t>Cetoddle</t>
  </si>
  <si>
    <t>0975</t>
  </si>
  <si>
    <t>Cetitan</t>
  </si>
  <si>
    <t>0976</t>
  </si>
  <si>
    <t>Veluza</t>
  </si>
  <si>
    <t>0977</t>
  </si>
  <si>
    <t>Dondozo</t>
  </si>
  <si>
    <t>0978</t>
  </si>
  <si>
    <r>
      <rPr>
        <rFont val="Trebuchet MS"/>
        <color rgb="FFFFFFFF"/>
        <sz val="9.0"/>
      </rPr>
      <t>Tatsugiri</t>
    </r>
    <r>
      <rPr>
        <rFont val="Trebuchet MS"/>
        <color rgb="FFFFFFFF"/>
        <sz val="8.0"/>
      </rPr>
      <t xml:space="preserve"> (Curly)</t>
    </r>
  </si>
  <si>
    <r>
      <rPr>
        <rFont val="Trebuchet MS"/>
        <color rgb="FFFFFFFF"/>
        <sz val="9.0"/>
      </rPr>
      <t>Tatsugiri</t>
    </r>
    <r>
      <rPr>
        <rFont val="Trebuchet MS"/>
        <color rgb="FFFFFFFF"/>
        <sz val="8.0"/>
      </rPr>
      <t xml:space="preserve"> (Droopy)</t>
    </r>
  </si>
  <si>
    <r>
      <rPr>
        <rFont val="Trebuchet MS"/>
        <color rgb="FFFFFFFF"/>
        <sz val="9.0"/>
      </rPr>
      <t>Tatsugiri</t>
    </r>
    <r>
      <rPr>
        <rFont val="Trebuchet MS"/>
        <color rgb="FFFFFFFF"/>
        <sz val="8.0"/>
      </rPr>
      <t xml:space="preserve"> (Stretchy)</t>
    </r>
  </si>
  <si>
    <t>0979</t>
  </si>
  <si>
    <t>Annihilape</t>
  </si>
  <si>
    <t>0596</t>
  </si>
  <si>
    <t>Galvantula</t>
  </si>
  <si>
    <t>0597</t>
  </si>
  <si>
    <t>Ferroseed</t>
  </si>
  <si>
    <t>0598</t>
  </si>
  <si>
    <t>Ferrothorn</t>
  </si>
  <si>
    <t>0599</t>
  </si>
  <si>
    <t>Klink</t>
  </si>
  <si>
    <t>0600</t>
  </si>
  <si>
    <t>Klang</t>
  </si>
  <si>
    <t>0601</t>
  </si>
  <si>
    <t>Klinklang</t>
  </si>
  <si>
    <t>0602</t>
  </si>
  <si>
    <t>Tynamo</t>
  </si>
  <si>
    <t>0603</t>
  </si>
  <si>
    <t>Eelektrik</t>
  </si>
  <si>
    <t>0980</t>
  </si>
  <si>
    <t>Clodsire</t>
  </si>
  <si>
    <t>0981</t>
  </si>
  <si>
    <t>Farigiraf</t>
  </si>
  <si>
    <t>0982</t>
  </si>
  <si>
    <t>Dudunsparce</t>
  </si>
  <si>
    <t>0983</t>
  </si>
  <si>
    <t>Kingambit</t>
  </si>
  <si>
    <t>0984</t>
  </si>
  <si>
    <t>Great Tusk</t>
  </si>
  <si>
    <t>0985</t>
  </si>
  <si>
    <t>Scream Tail</t>
  </si>
  <si>
    <t>0986</t>
  </si>
  <si>
    <t>Brute Bonnet</t>
  </si>
  <si>
    <t>0987</t>
  </si>
  <si>
    <t>Flutter Mane</t>
  </si>
  <si>
    <t>NOTE: Alcremie Form balls were chosen such that the first option is unique to each flavor, and the second option is unique to each decoration.</t>
  </si>
  <si>
    <t>Strawberry Sweet</t>
  </si>
  <si>
    <t>Flower Sweet</t>
  </si>
  <si>
    <t>Star Sweet</t>
  </si>
  <si>
    <t>Clover Sweet</t>
  </si>
  <si>
    <t>Berry Sweet</t>
  </si>
  <si>
    <t>Ribbon Sweet</t>
  </si>
  <si>
    <t>Love Sweet</t>
  </si>
  <si>
    <t>Vanilla Cream</t>
  </si>
  <si>
    <t>0604</t>
  </si>
  <si>
    <t>Eelektross</t>
  </si>
  <si>
    <t>0605</t>
  </si>
  <si>
    <t>Elgyem</t>
  </si>
  <si>
    <t>0606</t>
  </si>
  <si>
    <t>Beheeyem</t>
  </si>
  <si>
    <t>0607</t>
  </si>
  <si>
    <t>Litwick</t>
  </si>
  <si>
    <t>0608</t>
  </si>
  <si>
    <t>Lampent</t>
  </si>
  <si>
    <t>0609</t>
  </si>
  <si>
    <t>Chandelure</t>
  </si>
  <si>
    <t>0610</t>
  </si>
  <si>
    <t>Axew</t>
  </si>
  <si>
    <t>0611</t>
  </si>
  <si>
    <t>Fraxure</t>
  </si>
  <si>
    <t>Ruby Cream</t>
  </si>
  <si>
    <t>0988</t>
  </si>
  <si>
    <t>Slither Wing</t>
  </si>
  <si>
    <t>0989</t>
  </si>
  <si>
    <t>Sandy Shocks</t>
  </si>
  <si>
    <t>Matcha Cream</t>
  </si>
  <si>
    <t>0990</t>
  </si>
  <si>
    <t>Iron Treads</t>
  </si>
  <si>
    <t>0991</t>
  </si>
  <si>
    <t>Iron Bundle</t>
  </si>
  <si>
    <t>0992</t>
  </si>
  <si>
    <t>Iron Hands</t>
  </si>
  <si>
    <t>0993</t>
  </si>
  <si>
    <t>Iron Jugulis</t>
  </si>
  <si>
    <t>0994</t>
  </si>
  <si>
    <t>Iron Moth</t>
  </si>
  <si>
    <t>0995</t>
  </si>
  <si>
    <t>Iron Thorns</t>
  </si>
  <si>
    <t>Mint Cream</t>
  </si>
  <si>
    <t>0612</t>
  </si>
  <si>
    <t>Haxorus</t>
  </si>
  <si>
    <t>0613</t>
  </si>
  <si>
    <t>Cubchoo</t>
  </si>
  <si>
    <t>0614</t>
  </si>
  <si>
    <t>Beartic</t>
  </si>
  <si>
    <t>0615</t>
  </si>
  <si>
    <t>Cryogonal</t>
  </si>
  <si>
    <t>0616</t>
  </si>
  <si>
    <t>Shelmet</t>
  </si>
  <si>
    <t>0617</t>
  </si>
  <si>
    <t>Accelgor</t>
  </si>
  <si>
    <t>0618</t>
  </si>
  <si>
    <t>Stunfisk</t>
  </si>
  <si>
    <t>Stunfisk (Galar)</t>
  </si>
  <si>
    <t>Lemon Cream</t>
  </si>
  <si>
    <t>0996</t>
  </si>
  <si>
    <t>Frigibax</t>
  </si>
  <si>
    <t>0997</t>
  </si>
  <si>
    <t>Arctibax</t>
  </si>
  <si>
    <t>0998</t>
  </si>
  <si>
    <t>Baxcalibur</t>
  </si>
  <si>
    <t>0999</t>
  </si>
  <si>
    <r>
      <rPr>
        <rFont val="Trebuchet MS"/>
        <color rgb="FFFFFFFF"/>
        <sz val="9.0"/>
      </rPr>
      <t>Gimmighoul</t>
    </r>
    <r>
      <rPr>
        <rFont val="Trebuchet MS"/>
        <color rgb="FFFFFFFF"/>
        <sz val="9.0"/>
      </rPr>
      <t xml:space="preserve"> (Chest)</t>
    </r>
  </si>
  <si>
    <r>
      <rPr>
        <rFont val="Trebuchet MS"/>
        <color rgb="FFFFFFFF"/>
        <sz val="8.0"/>
      </rPr>
      <t>Gimmighoul</t>
    </r>
    <r>
      <rPr>
        <rFont val="Trebuchet MS"/>
        <color rgb="FFFFFFFF"/>
        <sz val="7.0"/>
      </rPr>
      <t xml:space="preserve"> (Roaming)</t>
    </r>
  </si>
  <si>
    <t>1000</t>
  </si>
  <si>
    <t>Gholdengo</t>
  </si>
  <si>
    <t>1001</t>
  </si>
  <si>
    <t>Wo-Chien</t>
  </si>
  <si>
    <t>1002</t>
  </si>
  <si>
    <t>Chien-Pao</t>
  </si>
  <si>
    <t>Salted Cream</t>
  </si>
  <si>
    <t>Ruby Swirl</t>
  </si>
  <si>
    <t>0619</t>
  </si>
  <si>
    <t>Mienfoo</t>
  </si>
  <si>
    <t>0620</t>
  </si>
  <si>
    <t>Mienshao</t>
  </si>
  <si>
    <t>0621</t>
  </si>
  <si>
    <t>Druddigon</t>
  </si>
  <si>
    <t>0622</t>
  </si>
  <si>
    <t>Golett</t>
  </si>
  <si>
    <t>0623</t>
  </si>
  <si>
    <t>Golurk</t>
  </si>
  <si>
    <t>0624</t>
  </si>
  <si>
    <t>Pawniard</t>
  </si>
  <si>
    <t>0625</t>
  </si>
  <si>
    <t>Bisharp</t>
  </si>
  <si>
    <t>0626</t>
  </si>
  <si>
    <t>Bouffalant</t>
  </si>
  <si>
    <t>1003</t>
  </si>
  <si>
    <t>Ting-Lu</t>
  </si>
  <si>
    <t>1004</t>
  </si>
  <si>
    <t>Chi-Yu</t>
  </si>
  <si>
    <t>1005</t>
  </si>
  <si>
    <t>Roaring Moon</t>
  </si>
  <si>
    <t>1006</t>
  </si>
  <si>
    <t>Iron Valiant</t>
  </si>
  <si>
    <t>1007</t>
  </si>
  <si>
    <t>Koraidon</t>
  </si>
  <si>
    <t>1008</t>
  </si>
  <si>
    <t>Miraidon</t>
  </si>
  <si>
    <t>1009</t>
  </si>
  <si>
    <t>Walking Wake</t>
  </si>
  <si>
    <t>1010</t>
  </si>
  <si>
    <t>Iron Leaves</t>
  </si>
  <si>
    <t>Caramel Swirl</t>
  </si>
  <si>
    <t>Rainbow Swirl</t>
  </si>
  <si>
    <t>★ Shiny</t>
  </si>
  <si>
    <t>1011</t>
  </si>
  <si>
    <t>Dipplin</t>
  </si>
  <si>
    <t>1012</t>
  </si>
  <si>
    <t>Poltchageist (Both)</t>
  </si>
  <si>
    <t>1013</t>
  </si>
  <si>
    <t>Sinistcha (Both)</t>
  </si>
  <si>
    <t>1014</t>
  </si>
  <si>
    <t>Okidogi</t>
  </si>
  <si>
    <t>1015</t>
  </si>
  <si>
    <t>Munkidori</t>
  </si>
  <si>
    <t>1016</t>
  </si>
  <si>
    <t>Fezandipiti</t>
  </si>
  <si>
    <t>1017</t>
  </si>
  <si>
    <t>Ogerpon (Teal Mask)</t>
  </si>
  <si>
    <t>Ogerpon (Wellspring)</t>
  </si>
  <si>
    <t>0627</t>
  </si>
  <si>
    <t>Rufflet</t>
  </si>
  <si>
    <t>0628</t>
  </si>
  <si>
    <t>Braviary</t>
  </si>
  <si>
    <t>Braviary (Hisui)</t>
  </si>
  <si>
    <t>0629</t>
  </si>
  <si>
    <t>Vullaby</t>
  </si>
  <si>
    <t>0630</t>
  </si>
  <si>
    <t>Mandibuzz</t>
  </si>
  <si>
    <t>0631</t>
  </si>
  <si>
    <t>Heatmor</t>
  </si>
  <si>
    <t>0632</t>
  </si>
  <si>
    <t>Durant</t>
  </si>
  <si>
    <t>0633</t>
  </si>
  <si>
    <t>Deino</t>
  </si>
  <si>
    <r>
      <rPr>
        <rFont val="Trebuchet MS"/>
        <color rgb="FFFFFFFF"/>
        <sz val="8.0"/>
      </rPr>
      <t>Ogerpon</t>
    </r>
    <r>
      <rPr>
        <rFont val="Trebuchet MS"/>
        <color rgb="FFFFFFFF"/>
        <sz val="7.0"/>
      </rPr>
      <t xml:space="preserve"> (Hearthflame)</t>
    </r>
  </si>
  <si>
    <r>
      <rPr>
        <rFont val="Trebuchet MS"/>
        <color rgb="FFFFFFFF"/>
        <sz val="8.0"/>
      </rPr>
      <t>Ogerpon</t>
    </r>
    <r>
      <rPr>
        <rFont val="Trebuchet MS"/>
        <color rgb="FFFFFFFF"/>
        <sz val="7.0"/>
      </rPr>
      <t xml:space="preserve"> (Cornerstone)</t>
    </r>
  </si>
  <si>
    <t>1018</t>
  </si>
  <si>
    <t>Archaludon</t>
  </si>
  <si>
    <t>1019</t>
  </si>
  <si>
    <t>Hydrapple</t>
  </si>
  <si>
    <t>1020</t>
  </si>
  <si>
    <t>Gouging Fire</t>
  </si>
  <si>
    <t>1021</t>
  </si>
  <si>
    <t>Raging Bolt</t>
  </si>
  <si>
    <t>1022</t>
  </si>
  <si>
    <t>Iron Boulder</t>
  </si>
  <si>
    <t>1023</t>
  </si>
  <si>
    <t>Iron Crown</t>
  </si>
  <si>
    <t>0634</t>
  </si>
  <si>
    <t>Zweilous</t>
  </si>
  <si>
    <t>0635</t>
  </si>
  <si>
    <t>Hydreigon</t>
  </si>
  <si>
    <t>0636</t>
  </si>
  <si>
    <t>Larvesta</t>
  </si>
  <si>
    <t>0637</t>
  </si>
  <si>
    <t>Volcarona</t>
  </si>
  <si>
    <t>0638</t>
  </si>
  <si>
    <t>Cobalion</t>
  </si>
  <si>
    <t>0639</t>
  </si>
  <si>
    <t>Terrakion</t>
  </si>
  <si>
    <t>0640</t>
  </si>
  <si>
    <t>Virizion</t>
  </si>
  <si>
    <t>0641</t>
  </si>
  <si>
    <r>
      <rPr>
        <rFont val="Trebuchet MS"/>
        <color rgb="FFFFFFFF"/>
        <sz val="9.0"/>
      </rPr>
      <t>Tornadus</t>
    </r>
    <r>
      <rPr>
        <rFont val="Trebuchet MS"/>
        <color rgb="FFFFFFFF"/>
        <sz val="7.0"/>
      </rPr>
      <t xml:space="preserve"> (Incarnate)</t>
    </r>
  </si>
  <si>
    <t>1024</t>
  </si>
  <si>
    <t>Terapagos</t>
  </si>
  <si>
    <t>1025</t>
  </si>
  <si>
    <t>Pecharunt</t>
  </si>
  <si>
    <r>
      <rPr>
        <rFont val="Trebuchet MS"/>
        <color rgb="FFFFFFFF"/>
        <sz val="9.0"/>
      </rPr>
      <t>Tornadus</t>
    </r>
    <r>
      <rPr>
        <rFont val="Trebuchet MS"/>
        <color rgb="FFFFFFFF"/>
        <sz val="7.0"/>
      </rPr>
      <t xml:space="preserve"> (Therian)</t>
    </r>
  </si>
  <si>
    <t>0642</t>
  </si>
  <si>
    <r>
      <rPr>
        <rFont val="Trebuchet MS"/>
        <color rgb="FFFFFFFF"/>
        <sz val="9.0"/>
      </rPr>
      <t>Thundurus</t>
    </r>
    <r>
      <rPr>
        <rFont val="Trebuchet MS"/>
        <color rgb="FFFFFFFF"/>
        <sz val="7.0"/>
      </rPr>
      <t xml:space="preserve"> (Incarnate)</t>
    </r>
  </si>
  <si>
    <r>
      <rPr>
        <rFont val="Trebuchet MS"/>
        <color rgb="FFFFFFFF"/>
        <sz val="9.0"/>
      </rPr>
      <t>Thundurus</t>
    </r>
    <r>
      <rPr>
        <rFont val="Trebuchet MS"/>
        <color rgb="FFFFFFFF"/>
        <sz val="7.0"/>
      </rPr>
      <t xml:space="preserve"> (Therian)</t>
    </r>
  </si>
  <si>
    <t>0643</t>
  </si>
  <si>
    <t>Reshiram</t>
  </si>
  <si>
    <t>0644</t>
  </si>
  <si>
    <t>Zekrom</t>
  </si>
  <si>
    <t>0645</t>
  </si>
  <si>
    <r>
      <rPr>
        <rFont val="Trebuchet MS"/>
        <color rgb="FFFFFFFF"/>
        <sz val="9.0"/>
      </rPr>
      <t>Landorus</t>
    </r>
    <r>
      <rPr>
        <rFont val="Trebuchet MS"/>
        <color rgb="FFFFFFFF"/>
        <sz val="7.0"/>
      </rPr>
      <t xml:space="preserve"> (Incarnate)</t>
    </r>
  </si>
  <si>
    <r>
      <rPr>
        <rFont val="Trebuchet MS"/>
        <color rgb="FFFFFFFF"/>
        <sz val="9.0"/>
      </rPr>
      <t>Landorus</t>
    </r>
    <r>
      <rPr>
        <rFont val="Trebuchet MS"/>
        <color rgb="FFFFFFFF"/>
        <sz val="7.0"/>
      </rPr>
      <t xml:space="preserve"> (Therian)</t>
    </r>
  </si>
  <si>
    <t>0646</t>
  </si>
  <si>
    <t>Kyurem</t>
  </si>
  <si>
    <t>Kyurem (White)</t>
  </si>
  <si>
    <t>Kyurem (Black)</t>
  </si>
  <si>
    <t>0647</t>
  </si>
  <si>
    <t>Keldeo (Both)</t>
  </si>
  <si>
    <t>0648</t>
  </si>
  <si>
    <t>Meloetta</t>
  </si>
  <si>
    <t>0649</t>
  </si>
  <si>
    <r>
      <rPr>
        <rFont val="Trebuchet MS"/>
        <color rgb="FFFFFFFF"/>
        <sz val="9.0"/>
      </rPr>
      <t>Genesect</t>
    </r>
    <r>
      <rPr>
        <rFont val="Trebuchet MS"/>
        <color rgb="FFFFFFFF"/>
        <sz val="8.0"/>
      </rPr>
      <t xml:space="preserve"> (All Drives)</t>
    </r>
  </si>
</sst>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Calibri"/>
      <scheme val="minor"/>
    </font>
    <font>
      <sz val="10.0"/>
      <color rgb="FFFFFFFF"/>
      <name val="Trebuchet MS"/>
    </font>
    <font>
      <sz val="11.0"/>
      <color rgb="FFFFFFFF"/>
      <name val="Trebuchet MS"/>
    </font>
    <font>
      <sz val="24.0"/>
      <color rgb="FFFFFFFF"/>
      <name val="Trebuchet MS"/>
    </font>
    <font/>
    <font>
      <sz val="12.0"/>
      <color rgb="FFFFFFFF"/>
      <name val="Trebuchet MS"/>
    </font>
    <font>
      <b/>
      <sz val="12.0"/>
      <color rgb="FFFFFFFF"/>
      <name val="Trebuchet MS"/>
    </font>
    <font>
      <sz val="11.0"/>
      <color theme="1"/>
      <name val="Trebuchet MS"/>
    </font>
    <font>
      <sz val="10.0"/>
      <color rgb="FF000000"/>
      <name val="Trebuchet MS"/>
    </font>
    <font>
      <sz val="10.0"/>
      <color theme="1"/>
      <name val="Trebuchet MS"/>
    </font>
    <font>
      <sz val="11.0"/>
      <color rgb="FF000000"/>
      <name val="Trebuchet MS"/>
    </font>
    <font>
      <b/>
      <sz val="11.0"/>
      <color rgb="FFFFFFFF"/>
      <name val="Trebuchet MS"/>
    </font>
    <font>
      <sz val="11.0"/>
      <color theme="1"/>
      <name val="Calibri"/>
    </font>
    <font>
      <sz val="10.0"/>
      <color theme="1"/>
      <name val="Arial"/>
    </font>
    <font>
      <sz val="11.0"/>
      <color theme="1"/>
      <name val="Arial"/>
    </font>
    <font>
      <color rgb="FFFFFFFF"/>
      <name val="Trebuchet MS"/>
    </font>
    <font>
      <sz val="12.0"/>
      <color theme="1"/>
      <name val="Trebuchet MS"/>
    </font>
    <font>
      <color theme="1"/>
      <name val="Calibri"/>
    </font>
    <font>
      <b/>
      <sz val="14.0"/>
      <color rgb="FFFFFFFF"/>
      <name val="Trebuchet MS"/>
    </font>
    <font>
      <b/>
      <u/>
      <sz val="10.0"/>
      <color rgb="FF0000FF"/>
      <name val="Trebuchet MS"/>
    </font>
    <font>
      <u/>
      <sz val="10.0"/>
      <color rgb="FF0000FF"/>
      <name val="Trebuchet MS"/>
    </font>
    <font>
      <u/>
      <sz val="10.0"/>
      <color rgb="FF0000FF"/>
      <name val="Trebuchet MS"/>
    </font>
    <font>
      <sz val="9.0"/>
      <color rgb="FFFFFFFF"/>
      <name val="Trebuchet MS"/>
    </font>
    <font>
      <color theme="1"/>
      <name val="Trebuchet MS"/>
    </font>
    <font>
      <i/>
      <u/>
      <sz val="11.0"/>
      <color theme="1"/>
      <name val="Trebuchet MS"/>
    </font>
    <font>
      <sz val="8.0"/>
      <color rgb="FFFFFFFF"/>
      <name val="Trebuchet MS"/>
    </font>
    <font>
      <i/>
      <u/>
      <sz val="11.0"/>
      <color theme="1"/>
      <name val="Trebuchet MS"/>
    </font>
    <font>
      <u/>
      <sz val="10.0"/>
      <color rgb="FFFFFFFF"/>
      <name val="Trebuchet MS"/>
    </font>
    <font>
      <u/>
      <sz val="11.0"/>
      <color rgb="FFFFFFFF"/>
      <name val="Trebuchet MS"/>
    </font>
    <font>
      <sz val="11.0"/>
      <color theme="1"/>
      <name val="Calibri"/>
      <scheme val="minor"/>
    </font>
    <font>
      <u/>
      <sz val="11.0"/>
      <color rgb="FFFFFFFF"/>
      <name val="Trebuchet MS"/>
    </font>
  </fonts>
  <fills count="5">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FFFF00"/>
        <bgColor rgb="FFFFFF00"/>
      </patternFill>
    </fill>
  </fills>
  <borders count="41">
    <border/>
    <border>
      <left style="thin">
        <color rgb="FF434343"/>
      </left>
      <right style="thin">
        <color rgb="FF434343"/>
      </right>
      <top style="thin">
        <color rgb="FF434343"/>
      </top>
      <bottom style="thin">
        <color rgb="FF434343"/>
      </bottom>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
      <left style="thin">
        <color rgb="FFFFFFFF"/>
      </left>
    </border>
    <border>
      <left style="thin">
        <color rgb="FF434343"/>
      </left>
      <right style="thin">
        <color rgb="FFFFFFFF"/>
      </right>
    </border>
    <border>
      <left style="thin">
        <color rgb="FF434343"/>
      </left>
      <right style="thin">
        <color rgb="FFFFFFFF"/>
      </right>
      <top style="thin">
        <color rgb="FF434343"/>
      </top>
      <bottom style="thin">
        <color rgb="FFFFFFFF"/>
      </bottom>
    </border>
    <border>
      <left style="thin">
        <color rgb="FF434343"/>
      </left>
      <top style="thin">
        <color rgb="FF434343"/>
      </top>
    </border>
    <border>
      <top style="thin">
        <color rgb="FF434343"/>
      </top>
    </border>
    <border>
      <right style="thin">
        <color rgb="FF434343"/>
      </right>
      <top style="thin">
        <color rgb="FF434343"/>
      </top>
    </border>
    <border>
      <left style="thin">
        <color rgb="FFFFFFFF"/>
      </left>
      <right style="thin">
        <color rgb="FF434343"/>
      </right>
      <top style="thin">
        <color rgb="FF434343"/>
      </top>
    </border>
    <border>
      <left style="thin">
        <color rgb="FF434343"/>
      </left>
    </border>
    <border>
      <right style="thin">
        <color rgb="FF434343"/>
      </right>
    </border>
    <border>
      <bottom style="thin">
        <color rgb="FFFFFFFF"/>
      </bottom>
    </border>
    <border>
      <right style="thin">
        <color rgb="FFFFFFFF"/>
      </right>
      <bottom style="thin">
        <color rgb="FFFFFFFF"/>
      </bottom>
    </border>
    <border>
      <left style="thin">
        <color rgb="FFFFFFFF"/>
      </left>
      <top style="thin">
        <color rgb="FFFFFFFF"/>
      </top>
    </border>
    <border>
      <left style="thin">
        <color rgb="FF434343"/>
      </left>
      <right style="thin">
        <color rgb="FFFFFFFF"/>
      </right>
      <top style="thin">
        <color rgb="FFFFFFFF"/>
      </top>
    </border>
    <border>
      <left style="thin">
        <color rgb="FF434343"/>
      </left>
      <right style="thin">
        <color rgb="FFFFFFFF"/>
      </right>
      <top style="thin">
        <color rgb="FFFFFFFF"/>
      </top>
      <bottom style="thin">
        <color rgb="FFFFFFFF"/>
      </bottom>
    </border>
    <border>
      <left style="thin">
        <color rgb="FFFFFFFF"/>
      </left>
      <right style="thin">
        <color rgb="FF434343"/>
      </right>
    </border>
    <border>
      <left style="thin">
        <color rgb="FF434343"/>
      </left>
      <right style="thin">
        <color rgb="FFFFFFFF"/>
      </right>
      <top style="thin">
        <color rgb="FFFFFFFF"/>
      </top>
      <bottom style="thin">
        <color rgb="FF434343"/>
      </bottom>
    </border>
    <border>
      <left style="thin">
        <color rgb="FFFFFFFF"/>
      </left>
      <right style="thin">
        <color rgb="FF434343"/>
      </right>
      <bottom style="thin">
        <color rgb="FF434343"/>
      </bottom>
    </border>
    <border>
      <left style="thin">
        <color rgb="FF434343"/>
      </left>
      <bottom style="thin">
        <color rgb="FF434343"/>
      </bottom>
    </border>
    <border>
      <bottom style="thin">
        <color rgb="FF434343"/>
      </bottom>
    </border>
    <border>
      <right style="thin">
        <color rgb="FF434343"/>
      </right>
      <bottom style="thin">
        <color rgb="FF434343"/>
      </bottom>
    </border>
    <border>
      <left style="thin">
        <color rgb="FF434343"/>
      </left>
      <right style="thin">
        <color rgb="FF434343"/>
      </right>
      <top style="thin">
        <color rgb="FF434343"/>
      </top>
    </border>
    <border>
      <left style="thin">
        <color rgb="FF434343"/>
      </left>
      <right style="thin">
        <color rgb="FF434343"/>
      </right>
    </border>
    <border>
      <left style="thin">
        <color rgb="FF434343"/>
      </left>
      <right style="thin">
        <color rgb="FF434343"/>
      </right>
      <bottom style="thin">
        <color rgb="FF434343"/>
      </bottom>
    </border>
    <border>
      <left style="thin">
        <color rgb="FF434343"/>
      </left>
      <right style="thin">
        <color rgb="FFFFFFFF"/>
      </right>
      <top style="thin">
        <color rgb="FF434343"/>
      </top>
    </border>
    <border>
      <left style="thin">
        <color rgb="FF434343"/>
      </left>
      <right style="thin">
        <color rgb="FFFFFFFF"/>
      </right>
      <bottom style="thin">
        <color rgb="FF434343"/>
      </bottom>
    </border>
    <border>
      <right style="thin">
        <color rgb="FFFFFFFF"/>
      </right>
      <top style="thin">
        <color rgb="FF434343"/>
      </top>
    </border>
    <border>
      <right style="thin">
        <color rgb="FFFFFFFF"/>
      </right>
    </border>
    <border>
      <left style="thin">
        <color rgb="FF434343"/>
      </left>
      <bottom style="thin">
        <color rgb="FFFFFFFF"/>
      </bottom>
    </border>
    <border>
      <right style="thin">
        <color rgb="FFFFFFFF"/>
      </right>
      <top style="thin">
        <color rgb="FF434343"/>
      </top>
      <bottom style="thin">
        <color rgb="FFFFFFFF"/>
      </bottom>
    </border>
    <border>
      <right style="thin">
        <color rgb="FFFFFFFF"/>
      </right>
      <top style="thin">
        <color rgb="FFFFFFFF"/>
      </top>
      <bottom style="thin">
        <color rgb="FFFFFFFF"/>
      </bottom>
    </border>
    <border>
      <right style="thin">
        <color rgb="FFFFFFFF"/>
      </right>
      <top style="thin">
        <color rgb="FFFFFFFF"/>
      </top>
      <bottom style="thin">
        <color rgb="FF434343"/>
      </bottom>
    </border>
    <border>
      <left style="thin">
        <color rgb="FF434343"/>
      </left>
      <right style="thin">
        <color rgb="FFFFFFFF"/>
      </right>
      <top style="thin">
        <color rgb="FF434343"/>
      </top>
      <bottom style="thin">
        <color rgb="FF434343"/>
      </bottom>
    </border>
    <border>
      <left style="thin">
        <color rgb="FFFFFFFF"/>
      </left>
      <top style="thin">
        <color rgb="FF434343"/>
      </top>
    </border>
    <border>
      <left style="thin">
        <color rgb="FFFFFFFF"/>
      </left>
      <bottom style="thin">
        <color rgb="FF434343"/>
      </bottom>
    </border>
    <border>
      <left style="thin">
        <color rgb="FF434343"/>
      </left>
      <top style="thin">
        <color rgb="FF434343"/>
      </top>
      <bottom style="thin">
        <color rgb="FFFFFFFF"/>
      </bottom>
    </border>
    <border>
      <top style="thin">
        <color rgb="FF434343"/>
      </top>
      <bottom style="thin">
        <color rgb="FFFFFFFF"/>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1" fillId="2" fontId="2" numFmtId="0" xfId="0" applyAlignment="1" applyBorder="1" applyFont="1">
      <alignment horizontal="center" shrinkToFit="0" vertical="center" wrapText="0"/>
    </xf>
    <xf borderId="2" fillId="2" fontId="3" numFmtId="0" xfId="0" applyAlignment="1" applyBorder="1" applyFont="1">
      <alignment horizontal="center" readingOrder="0" shrinkToFit="0" vertical="center" wrapText="0"/>
    </xf>
    <xf borderId="3" fillId="0" fontId="4" numFmtId="0" xfId="0" applyBorder="1" applyFont="1"/>
    <xf borderId="4" fillId="0" fontId="4" numFmtId="0" xfId="0" applyBorder="1" applyFont="1"/>
    <xf borderId="2" fillId="2" fontId="1" numFmtId="49" xfId="0" applyAlignment="1" applyBorder="1" applyFont="1" applyNumberFormat="1">
      <alignment horizontal="center" shrinkToFit="0" vertical="center" wrapText="0"/>
    </xf>
    <xf borderId="2" fillId="2" fontId="5" numFmtId="0" xfId="0" applyAlignment="1" applyBorder="1" applyFont="1">
      <alignment horizontal="center" shrinkToFit="0" vertical="center" wrapText="0"/>
    </xf>
    <xf borderId="5" fillId="2" fontId="2" numFmtId="49" xfId="0" applyAlignment="1" applyBorder="1" applyFont="1" applyNumberFormat="1">
      <alignment horizontal="center" readingOrder="0" shrinkToFit="0" vertical="center" wrapText="0"/>
    </xf>
    <xf borderId="1" fillId="2" fontId="5" numFmtId="0" xfId="0" applyAlignment="1" applyBorder="1" applyFont="1">
      <alignment horizontal="center" shrinkToFit="0" vertical="center" wrapText="0"/>
    </xf>
    <xf borderId="6" fillId="2" fontId="1" numFmtId="49" xfId="0" applyAlignment="1" applyBorder="1" applyFont="1" applyNumberFormat="1">
      <alignment horizontal="center" readingOrder="0" shrinkToFit="0" vertical="center" wrapText="0"/>
    </xf>
    <xf borderId="2" fillId="2" fontId="6" numFmtId="0" xfId="0" applyAlignment="1" applyBorder="1" applyFont="1">
      <alignment horizontal="center" shrinkToFit="0" vertical="center" wrapText="0"/>
    </xf>
    <xf borderId="1" fillId="2" fontId="6" numFmtId="0" xfId="0" applyAlignment="1" applyBorder="1" applyFont="1">
      <alignment horizontal="center" shrinkToFit="0" vertical="center" wrapText="0"/>
    </xf>
    <xf borderId="1" fillId="2" fontId="3" numFmtId="0" xfId="0" applyAlignment="1" applyBorder="1" applyFont="1">
      <alignment horizontal="center" shrinkToFit="0" vertical="center" wrapText="0"/>
    </xf>
    <xf borderId="4" fillId="2" fontId="1" numFmtId="49" xfId="0" applyAlignment="1" applyBorder="1" applyFont="1" applyNumberFormat="1">
      <alignment horizontal="center" shrinkToFit="0" vertical="center" wrapText="0"/>
    </xf>
    <xf borderId="2" fillId="2" fontId="1" numFmtId="0" xfId="0" applyAlignment="1" applyBorder="1" applyFont="1">
      <alignment horizontal="center" shrinkToFit="0" vertical="center" wrapText="0"/>
    </xf>
    <xf borderId="7" fillId="0" fontId="7" numFmtId="0" xfId="0" applyAlignment="1" applyBorder="1" applyFont="1">
      <alignment horizontal="center" shrinkToFit="0" vertical="center" wrapText="0"/>
    </xf>
    <xf borderId="8" fillId="3" fontId="8" numFmtId="0" xfId="0" applyAlignment="1" applyBorder="1" applyFill="1" applyFont="1">
      <alignment horizontal="center" readingOrder="0" shrinkToFit="0" vertical="center" wrapText="1"/>
    </xf>
    <xf borderId="9" fillId="0" fontId="4" numFmtId="0" xfId="0" applyBorder="1" applyFont="1"/>
    <xf borderId="10" fillId="0" fontId="4" numFmtId="0" xfId="0" applyBorder="1" applyFont="1"/>
    <xf borderId="11" fillId="0" fontId="9" numFmtId="0" xfId="0" applyAlignment="1" applyBorder="1" applyFont="1">
      <alignment horizontal="center" shrinkToFit="0" vertical="center" wrapText="0"/>
    </xf>
    <xf borderId="1" fillId="2" fontId="10" numFmtId="0" xfId="0" applyAlignment="1" applyBorder="1" applyFont="1">
      <alignment horizontal="center" shrinkToFit="0" vertical="center" wrapText="1"/>
    </xf>
    <xf borderId="1" fillId="2" fontId="11" numFmtId="0" xfId="0" applyAlignment="1" applyBorder="1" applyFont="1">
      <alignment horizontal="center" shrinkToFit="0" vertical="center" wrapText="0"/>
    </xf>
    <xf borderId="1" fillId="2" fontId="8" numFmtId="0" xfId="0" applyAlignment="1" applyBorder="1" applyFont="1">
      <alignment horizontal="center" shrinkToFit="0" vertical="center" wrapText="0"/>
    </xf>
    <xf borderId="7" fillId="0" fontId="10" numFmtId="0" xfId="0" applyAlignment="1" applyBorder="1" applyFont="1">
      <alignment horizontal="center" vertical="center"/>
    </xf>
    <xf borderId="12" fillId="0" fontId="4" numFmtId="0" xfId="0" applyBorder="1" applyFont="1"/>
    <xf borderId="13" fillId="0" fontId="4" numFmtId="0" xfId="0" applyBorder="1" applyFont="1"/>
    <xf borderId="14" fillId="2" fontId="11" numFmtId="0" xfId="0" applyAlignment="1" applyBorder="1" applyFont="1">
      <alignment horizontal="center" shrinkToFit="0" vertical="center" wrapText="0"/>
    </xf>
    <xf borderId="7" fillId="0" fontId="7" numFmtId="0" xfId="0" applyAlignment="1" applyBorder="1" applyFont="1">
      <alignment horizontal="center" vertical="center"/>
    </xf>
    <xf borderId="14" fillId="0" fontId="4" numFmtId="0" xfId="0" applyBorder="1" applyFont="1"/>
    <xf borderId="15" fillId="0" fontId="4" numFmtId="0" xfId="0" applyBorder="1" applyFont="1"/>
    <xf borderId="2" fillId="2" fontId="10" numFmtId="0" xfId="0" applyAlignment="1" applyBorder="1" applyFont="1">
      <alignment horizontal="center" shrinkToFit="0" vertical="center" wrapText="1"/>
    </xf>
    <xf borderId="16" fillId="2" fontId="2" numFmtId="49" xfId="0" applyAlignment="1" applyBorder="1" applyFont="1" applyNumberFormat="1">
      <alignment horizontal="center" readingOrder="0" shrinkToFit="0" vertical="center" wrapText="0"/>
    </xf>
    <xf borderId="4" fillId="2" fontId="1" numFmtId="0" xfId="0" applyAlignment="1" applyBorder="1" applyFont="1">
      <alignment horizontal="center" shrinkToFit="0" vertical="center" wrapText="0"/>
    </xf>
    <xf borderId="17" fillId="2" fontId="1" numFmtId="49" xfId="0" applyAlignment="1" applyBorder="1" applyFont="1" applyNumberFormat="1">
      <alignment horizontal="center" readingOrder="0" shrinkToFit="0" vertical="center" wrapText="0"/>
    </xf>
    <xf borderId="18" fillId="0" fontId="7" numFmtId="0" xfId="0" applyAlignment="1" applyBorder="1" applyFont="1">
      <alignment horizontal="center" vertical="center"/>
    </xf>
    <xf borderId="19" fillId="0" fontId="4" numFmtId="0" xfId="0" applyBorder="1" applyFont="1"/>
    <xf borderId="18" fillId="0" fontId="10" numFmtId="0" xfId="0" applyAlignment="1" applyBorder="1" applyFont="1">
      <alignment horizontal="center" vertical="center"/>
    </xf>
    <xf borderId="18" fillId="0" fontId="7" numFmtId="0" xfId="0" applyAlignment="1" applyBorder="1" applyFont="1">
      <alignment horizontal="center" shrinkToFit="0" vertical="center" wrapText="0"/>
    </xf>
    <xf borderId="7" fillId="0" fontId="12" numFmtId="0" xfId="0" applyAlignment="1" applyBorder="1" applyFont="1">
      <alignment horizontal="center" vertical="center"/>
    </xf>
    <xf borderId="20" fillId="0" fontId="7" numFmtId="0" xfId="0" applyAlignment="1" applyBorder="1" applyFont="1">
      <alignment horizontal="center" shrinkToFit="0" vertical="center" wrapText="0"/>
    </xf>
    <xf borderId="21" fillId="0" fontId="4" numFmtId="0" xfId="0" applyBorder="1" applyFont="1"/>
    <xf borderId="11" fillId="0" fontId="13" numFmtId="0" xfId="0" applyAlignment="1" applyBorder="1" applyFont="1">
      <alignment horizontal="center" shrinkToFit="0" vertical="center" wrapText="0"/>
    </xf>
    <xf borderId="20" fillId="0" fontId="7" numFmtId="0" xfId="0" applyAlignment="1" applyBorder="1" applyFont="1">
      <alignment horizontal="center" vertical="center"/>
    </xf>
    <xf borderId="7" fillId="0" fontId="14" numFmtId="0" xfId="0" applyAlignment="1" applyBorder="1" applyFont="1">
      <alignment horizontal="center" shrinkToFit="0" vertical="center" wrapText="0"/>
    </xf>
    <xf borderId="18" fillId="0" fontId="12" numFmtId="0" xfId="0" applyAlignment="1" applyBorder="1" applyFont="1">
      <alignment horizontal="center" vertical="center"/>
    </xf>
    <xf borderId="18" fillId="0" fontId="10" numFmtId="0" xfId="0" applyAlignment="1" applyBorder="1" applyFont="1">
      <alignment horizontal="center" shrinkToFit="0" vertical="center" wrapText="0"/>
    </xf>
    <xf borderId="20" fillId="0" fontId="12" numFmtId="0" xfId="0" applyAlignment="1" applyBorder="1" applyFont="1">
      <alignment horizontal="center" vertical="center"/>
    </xf>
    <xf borderId="20" fillId="0" fontId="14" numFmtId="0" xfId="0" applyAlignment="1" applyBorder="1" applyFont="1">
      <alignment horizontal="center" shrinkToFit="0" vertical="center" wrapText="0"/>
    </xf>
    <xf borderId="18" fillId="0" fontId="14" numFmtId="0" xfId="0" applyAlignment="1" applyBorder="1" applyFont="1">
      <alignment horizontal="center" shrinkToFit="0" vertical="center" wrapText="0"/>
    </xf>
    <xf borderId="22" fillId="0" fontId="4" numFmtId="0" xfId="0" applyBorder="1" applyFont="1"/>
    <xf borderId="23" fillId="0" fontId="4" numFmtId="0" xfId="0" applyBorder="1" applyFont="1"/>
    <xf borderId="24" fillId="0" fontId="4" numFmtId="0" xfId="0" applyBorder="1" applyFont="1"/>
    <xf borderId="1" fillId="2" fontId="2" numFmtId="0" xfId="0" applyAlignment="1" applyBorder="1" applyFont="1">
      <alignment horizontal="center" vertical="center"/>
    </xf>
    <xf borderId="1" fillId="2" fontId="15" numFmtId="0" xfId="0" applyAlignment="1" applyBorder="1" applyFont="1">
      <alignment horizontal="center" vertical="center"/>
    </xf>
    <xf borderId="1" fillId="2" fontId="16" numFmtId="0" xfId="0" applyAlignment="1" applyBorder="1" applyFont="1">
      <alignment horizontal="center" shrinkToFit="0" vertical="center" wrapText="1"/>
    </xf>
    <xf borderId="1" fillId="2" fontId="17" numFmtId="0" xfId="0" applyAlignment="1" applyBorder="1" applyFont="1">
      <alignment horizontal="center" vertical="center"/>
    </xf>
    <xf borderId="1" fillId="2" fontId="12" numFmtId="0" xfId="0" applyAlignment="1" applyBorder="1" applyFont="1">
      <alignment horizontal="center" vertical="center"/>
    </xf>
    <xf borderId="1" fillId="2" fontId="12" numFmtId="0" xfId="0" applyAlignment="1" applyBorder="1" applyFont="1">
      <alignment horizontal="center"/>
    </xf>
    <xf borderId="8" fillId="3" fontId="16" numFmtId="0" xfId="0" applyAlignment="1" applyBorder="1" applyFont="1">
      <alignment horizontal="center" shrinkToFit="0" vertical="center" wrapText="1"/>
    </xf>
    <xf borderId="1" fillId="2" fontId="7" numFmtId="0" xfId="0" applyAlignment="1" applyBorder="1" applyFont="1">
      <alignment horizontal="center" vertical="center"/>
    </xf>
    <xf borderId="1" fillId="2" fontId="18" numFmtId="0" xfId="0" applyAlignment="1" applyBorder="1" applyFont="1">
      <alignment horizontal="center" shrinkToFit="0" vertical="center" wrapText="1"/>
    </xf>
    <xf borderId="1" fillId="2" fontId="2" numFmtId="0" xfId="0" applyAlignment="1" applyBorder="1" applyFont="1">
      <alignment horizontal="center" readingOrder="0" vertical="center"/>
    </xf>
    <xf borderId="1" fillId="2" fontId="11" numFmtId="0" xfId="0" applyAlignment="1" applyBorder="1" applyFont="1">
      <alignment horizontal="center" shrinkToFit="0" vertical="center" wrapText="1"/>
    </xf>
    <xf borderId="2" fillId="2" fontId="18" numFmtId="0" xfId="0" applyAlignment="1" applyBorder="1" applyFont="1">
      <alignment horizontal="center" shrinkToFit="0" vertical="center" wrapText="1"/>
    </xf>
    <xf borderId="2" fillId="0" fontId="19" numFmtId="0" xfId="0" applyAlignment="1" applyBorder="1" applyFont="1">
      <alignment shrinkToFit="0" vertical="center" wrapText="0"/>
    </xf>
    <xf borderId="3" fillId="3" fontId="20" numFmtId="0" xfId="0" applyAlignment="1" applyBorder="1" applyFont="1">
      <alignment horizontal="center" readingOrder="0" shrinkToFit="0" vertical="center" wrapText="0"/>
    </xf>
    <xf borderId="3" fillId="3" fontId="21" numFmtId="0" xfId="0" applyAlignment="1" applyBorder="1" applyFont="1">
      <alignment horizontal="right" shrinkToFit="0" vertical="center" wrapText="0"/>
    </xf>
    <xf borderId="6" fillId="2" fontId="22" numFmtId="49" xfId="0" applyAlignment="1" applyBorder="1" applyFont="1" applyNumberFormat="1">
      <alignment horizontal="center" readingOrder="0" shrinkToFit="0" vertical="center" wrapText="0"/>
    </xf>
    <xf borderId="24" fillId="2" fontId="2"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3" fillId="2" fontId="1" numFmtId="0" xfId="0" applyAlignment="1" applyBorder="1" applyFont="1">
      <alignment horizontal="center" shrinkToFit="0" vertical="center" wrapText="0"/>
    </xf>
    <xf borderId="4" fillId="2" fontId="7" numFmtId="0" xfId="0" applyAlignment="1" applyBorder="1" applyFont="1">
      <alignment horizontal="center" vertical="center"/>
    </xf>
    <xf borderId="10" fillId="2" fontId="23" numFmtId="0" xfId="0" applyAlignment="1" applyBorder="1" applyFont="1">
      <alignment horizontal="center" vertical="center"/>
    </xf>
    <xf borderId="25" fillId="2" fontId="23" numFmtId="0" xfId="0" applyAlignment="1" applyBorder="1" applyFont="1">
      <alignment horizontal="center" vertical="center"/>
    </xf>
    <xf borderId="26" fillId="0" fontId="4" numFmtId="0" xfId="0" applyBorder="1" applyFont="1"/>
    <xf borderId="27" fillId="0" fontId="4" numFmtId="0" xfId="0" applyBorder="1" applyFont="1"/>
    <xf borderId="28" fillId="0" fontId="7" numFmtId="0" xfId="0" applyAlignment="1" applyBorder="1" applyFont="1">
      <alignment horizontal="center" shrinkToFit="0" textRotation="90" vertical="center" wrapText="0"/>
    </xf>
    <xf borderId="6" fillId="0" fontId="4" numFmtId="0" xfId="0" applyBorder="1" applyFont="1"/>
    <xf borderId="29" fillId="0" fontId="4" numFmtId="0" xfId="0" applyBorder="1" applyFont="1"/>
    <xf borderId="8" fillId="0" fontId="24" numFmtId="0" xfId="0" applyAlignment="1" applyBorder="1" applyFont="1">
      <alignment horizontal="center" shrinkToFit="0" vertical="center" wrapText="0"/>
    </xf>
    <xf borderId="30" fillId="0" fontId="4" numFmtId="0" xfId="0" applyBorder="1" applyFont="1"/>
    <xf borderId="31" fillId="0" fontId="4" numFmtId="0" xfId="0" applyBorder="1" applyFont="1"/>
    <xf borderId="32" fillId="0" fontId="4" numFmtId="0" xfId="0" applyBorder="1" applyFont="1"/>
    <xf borderId="33" fillId="0" fontId="7" numFmtId="0" xfId="0" applyAlignment="1" applyBorder="1" applyFont="1">
      <alignment horizontal="center" shrinkToFit="0" vertical="center" wrapText="0"/>
    </xf>
    <xf borderId="34" fillId="0" fontId="10" numFmtId="0" xfId="0" applyAlignment="1" applyBorder="1" applyFont="1">
      <alignment horizontal="center" shrinkToFit="0" vertical="center" wrapText="0"/>
    </xf>
    <xf borderId="35" fillId="0" fontId="7" numFmtId="0" xfId="0" applyAlignment="1" applyBorder="1" applyFont="1">
      <alignment horizontal="center" vertical="center"/>
    </xf>
    <xf borderId="6" fillId="2" fontId="25" numFmtId="49" xfId="0" applyAlignment="1" applyBorder="1" applyFont="1" applyNumberFormat="1">
      <alignment horizontal="center" readingOrder="0" shrinkToFit="0" vertical="center" wrapText="0"/>
    </xf>
    <xf borderId="20" fillId="4" fontId="7" numFmtId="0" xfId="0" applyAlignment="1" applyBorder="1" applyFill="1" applyFont="1">
      <alignment horizontal="center" shrinkToFit="0" vertical="center" wrapText="0"/>
    </xf>
    <xf borderId="19" fillId="2" fontId="2" numFmtId="49" xfId="0" applyAlignment="1" applyBorder="1" applyFont="1" applyNumberFormat="1">
      <alignment horizontal="center" readingOrder="0" shrinkToFit="0" vertical="center" wrapText="0"/>
    </xf>
    <xf borderId="31" fillId="2" fontId="1" numFmtId="49" xfId="0" applyAlignment="1" applyBorder="1" applyFont="1" applyNumberFormat="1">
      <alignment horizontal="center" readingOrder="0" shrinkToFit="0" vertical="center" wrapText="0"/>
    </xf>
    <xf borderId="24" fillId="2" fontId="2" numFmtId="49" xfId="0" applyAlignment="1" applyBorder="1" applyFont="1" applyNumberFormat="1">
      <alignment horizontal="center" shrinkToFit="0" vertical="center" wrapText="0"/>
    </xf>
    <xf borderId="22" fillId="2" fontId="1" numFmtId="49" xfId="0" applyAlignment="1" applyBorder="1" applyFont="1" applyNumberFormat="1">
      <alignment horizontal="center" shrinkToFit="0" vertical="center" wrapText="0"/>
    </xf>
    <xf borderId="27" fillId="2" fontId="2" numFmtId="49" xfId="0" applyAlignment="1" applyBorder="1" applyFont="1" applyNumberFormat="1">
      <alignment horizontal="center" shrinkToFit="0" vertical="center" wrapText="0"/>
    </xf>
    <xf borderId="27" fillId="2" fontId="1" numFmtId="49" xfId="0" applyAlignment="1" applyBorder="1" applyFont="1" applyNumberFormat="1">
      <alignment horizontal="center" shrinkToFit="0" vertical="center" wrapText="0"/>
    </xf>
    <xf borderId="1" fillId="2" fontId="1" numFmtId="49" xfId="0" applyAlignment="1" applyBorder="1" applyFont="1" applyNumberFormat="1">
      <alignment horizontal="center" shrinkToFit="0" vertical="center" wrapText="0"/>
    </xf>
    <xf borderId="18" fillId="4" fontId="7" numFmtId="0" xfId="0" applyAlignment="1" applyBorder="1" applyFont="1">
      <alignment horizontal="center" vertical="center"/>
    </xf>
    <xf borderId="4" fillId="2" fontId="7" numFmtId="0" xfId="0" applyAlignment="1" applyBorder="1" applyFont="1">
      <alignment horizontal="center" shrinkToFit="0" vertical="center" wrapText="0"/>
    </xf>
    <xf borderId="4" fillId="2" fontId="10" numFmtId="0" xfId="0" applyAlignment="1" applyBorder="1" applyFont="1">
      <alignment horizontal="center" shrinkToFit="0" vertical="center" wrapText="0"/>
    </xf>
    <xf borderId="27" fillId="2" fontId="2" numFmtId="0" xfId="0" applyAlignment="1" applyBorder="1" applyFont="1">
      <alignment horizontal="center" shrinkToFit="0" vertical="center" wrapText="0"/>
    </xf>
    <xf borderId="27" fillId="2" fontId="1" numFmtId="0" xfId="0" applyAlignment="1" applyBorder="1" applyFont="1">
      <alignment horizontal="center" shrinkToFit="0" vertical="center" wrapText="0"/>
    </xf>
    <xf borderId="1" fillId="2" fontId="7" numFmtId="0" xfId="0" applyAlignment="1" applyBorder="1" applyFont="1">
      <alignment horizontal="center" shrinkToFit="0" vertical="center" wrapText="1"/>
    </xf>
    <xf borderId="36" fillId="2" fontId="17" numFmtId="49" xfId="0" applyBorder="1" applyFont="1" applyNumberFormat="1"/>
    <xf borderId="1" fillId="2" fontId="9" numFmtId="0" xfId="0" applyAlignment="1" applyBorder="1" applyFont="1">
      <alignment horizontal="center" shrinkToFit="0" vertical="center" wrapText="0"/>
    </xf>
    <xf borderId="17" fillId="0" fontId="7" numFmtId="0" xfId="0" applyAlignment="1" applyBorder="1" applyFont="1">
      <alignment horizontal="center" shrinkToFit="0" vertical="center" wrapText="0"/>
    </xf>
    <xf borderId="4" fillId="2" fontId="2" numFmtId="49" xfId="0" applyAlignment="1" applyBorder="1" applyFont="1" applyNumberFormat="1">
      <alignment horizontal="center" vertical="center"/>
    </xf>
    <xf borderId="23" fillId="2" fontId="2" numFmtId="0" xfId="0" applyAlignment="1" applyBorder="1" applyFont="1">
      <alignment horizontal="center" shrinkToFit="0" vertical="center" wrapText="0"/>
    </xf>
    <xf borderId="26" fillId="2" fontId="23" numFmtId="0" xfId="0" applyAlignment="1" applyBorder="1" applyFont="1">
      <alignment horizontal="center" vertical="center"/>
    </xf>
    <xf borderId="27" fillId="2" fontId="7" numFmtId="0" xfId="0" applyAlignment="1" applyBorder="1" applyFont="1">
      <alignment horizontal="center" vertical="center"/>
    </xf>
    <xf borderId="25" fillId="2" fontId="7" numFmtId="0" xfId="0" applyAlignment="1" applyBorder="1" applyFont="1">
      <alignment horizontal="center" textRotation="90" vertical="center"/>
    </xf>
    <xf borderId="4" fillId="2" fontId="1" numFmtId="0" xfId="0" applyAlignment="1" applyBorder="1" applyFont="1">
      <alignment horizontal="right" shrinkToFit="0" vertical="center" wrapText="0"/>
    </xf>
    <xf borderId="37" fillId="0" fontId="26" numFmtId="0" xfId="0" applyAlignment="1" applyBorder="1" applyFont="1">
      <alignment horizontal="center" shrinkToFit="0" vertical="center" wrapText="0"/>
    </xf>
    <xf borderId="5" fillId="0" fontId="4" numFmtId="0" xfId="0" applyBorder="1" applyFont="1"/>
    <xf borderId="38" fillId="0" fontId="4" numFmtId="0" xfId="0" applyBorder="1" applyFont="1"/>
    <xf borderId="26" fillId="2" fontId="1" numFmtId="49" xfId="0" applyAlignment="1" applyBorder="1" applyFont="1" applyNumberFormat="1">
      <alignment horizontal="center" readingOrder="0" shrinkToFit="0" vertical="center" wrapText="0"/>
    </xf>
    <xf borderId="1" fillId="2" fontId="7"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1" fillId="2" fontId="27" numFmtId="0" xfId="0" applyAlignment="1" applyBorder="1" applyFont="1">
      <alignment horizontal="center" shrinkToFit="0" vertical="center" wrapText="0"/>
    </xf>
    <xf borderId="39" fillId="2" fontId="28" numFmtId="0" xfId="0" applyAlignment="1" applyBorder="1" applyFont="1">
      <alignment horizontal="center" readingOrder="0" shrinkToFit="0" vertical="center" wrapText="0"/>
    </xf>
    <xf borderId="40" fillId="0" fontId="4" numFmtId="0" xfId="0" applyBorder="1" applyFont="1"/>
    <xf borderId="5" fillId="2" fontId="1" numFmtId="49" xfId="0" applyAlignment="1" applyBorder="1" applyFont="1" applyNumberFormat="1">
      <alignment horizontal="center" readingOrder="0" shrinkToFit="0" vertical="center" wrapText="0"/>
    </xf>
    <xf borderId="4" fillId="2" fontId="9" numFmtId="0" xfId="0" applyAlignment="1" applyBorder="1" applyFont="1">
      <alignment horizontal="center" shrinkToFit="0" vertical="center" wrapText="0"/>
    </xf>
    <xf borderId="28" fillId="0" fontId="7" numFmtId="0" xfId="0" applyAlignment="1" applyBorder="1" applyFont="1">
      <alignment horizontal="center" shrinkToFit="0" textRotation="90" vertical="center" wrapText="1"/>
    </xf>
    <xf borderId="0" fillId="0" fontId="29" numFmtId="0" xfId="0" applyFont="1"/>
    <xf borderId="2" fillId="2" fontId="30" numFmtId="0" xfId="0" applyAlignment="1" applyBorder="1" applyFont="1">
      <alignment horizontal="center" shrinkToFit="0" vertical="center" wrapText="0"/>
    </xf>
    <xf borderId="8" fillId="2" fontId="1" numFmtId="0" xfId="0" applyAlignment="1" applyBorder="1" applyFont="1">
      <alignment horizontal="center" shrinkToFit="0" textRotation="90" vertical="center" wrapText="0"/>
    </xf>
    <xf borderId="13" fillId="2" fontId="2" numFmtId="0" xfId="0" applyAlignment="1" applyBorder="1" applyFont="1">
      <alignment horizontal="center" shrinkToFit="0" vertical="center" wrapText="0"/>
    </xf>
    <xf borderId="1" fillId="2" fontId="25" numFmtId="0" xfId="0" applyAlignment="1" applyBorder="1" applyFont="1">
      <alignment horizontal="center" shrinkToFit="0" vertical="center" wrapText="0"/>
    </xf>
    <xf borderId="1" fillId="2" fontId="10" numFmtId="0" xfId="0" applyAlignment="1" applyBorder="1" applyFont="1">
      <alignment horizontal="center" vertical="center"/>
    </xf>
    <xf borderId="1" fillId="2" fontId="17" numFmtId="0" xfId="0" applyBorder="1" applyFont="1"/>
    <xf borderId="10" fillId="2" fontId="9" numFmtId="0" xfId="0" applyAlignment="1" applyBorder="1" applyFont="1">
      <alignment horizontal="center" shrinkToFit="0" vertical="center" wrapText="0"/>
    </xf>
    <xf borderId="10" fillId="2" fontId="7" numFmtId="0" xfId="0" applyAlignment="1" applyBorder="1" applyFont="1">
      <alignment horizontal="center" textRotation="9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okejungle.net/" TargetMode="External"/><Relationship Id="rId2" Type="http://schemas.openxmlformats.org/officeDocument/2006/relationships/hyperlink" Target="https://www.reddit.com/user/adamlutz"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24.29"/>
    <col customWidth="1" min="3" max="3" width="7.43"/>
    <col customWidth="1" min="4" max="4" width="5.29"/>
    <col customWidth="1" min="6" max="6" width="5.29"/>
    <col customWidth="1" min="8" max="8" width="5.29"/>
    <col customWidth="1" min="10" max="10" width="5.29"/>
    <col customWidth="1" min="12" max="12" width="5.29"/>
    <col customWidth="1" min="14" max="14" width="5.86"/>
    <col customWidth="1" min="15" max="15" width="16.86"/>
    <col customWidth="1" min="16" max="16" width="5.29"/>
    <col customWidth="1" min="17" max="17" width="5.0"/>
    <col customWidth="1" min="18" max="18" width="4.0"/>
  </cols>
  <sheetData>
    <row r="1" ht="18.75" customHeight="1">
      <c r="A1" s="1"/>
      <c r="B1" s="1"/>
      <c r="C1" s="1"/>
      <c r="D1" s="1"/>
      <c r="E1" s="1"/>
      <c r="F1" s="1"/>
      <c r="G1" s="1"/>
      <c r="H1" s="2"/>
      <c r="I1" s="1"/>
      <c r="J1" s="2"/>
      <c r="K1" s="1"/>
      <c r="L1" s="2"/>
      <c r="M1" s="1"/>
      <c r="N1" s="1"/>
      <c r="O1" s="1"/>
      <c r="P1" s="1"/>
      <c r="Q1" s="1"/>
      <c r="R1" s="1"/>
    </row>
    <row r="2" ht="33.75" customHeight="1">
      <c r="A2" s="1"/>
      <c r="B2" s="3" t="s">
        <v>0</v>
      </c>
      <c r="C2" s="4"/>
      <c r="D2" s="4"/>
      <c r="E2" s="4"/>
      <c r="F2" s="4"/>
      <c r="G2" s="4"/>
      <c r="H2" s="4"/>
      <c r="I2" s="4"/>
      <c r="J2" s="4"/>
      <c r="K2" s="4"/>
      <c r="L2" s="4"/>
      <c r="M2" s="5"/>
      <c r="N2" s="1"/>
      <c r="O2" s="7" t="s">
        <v>1</v>
      </c>
      <c r="P2" s="4"/>
      <c r="Q2" s="5"/>
      <c r="R2" s="9"/>
    </row>
    <row r="3" ht="21.75" customHeight="1">
      <c r="A3" s="1"/>
      <c r="B3" s="11" t="s">
        <v>5</v>
      </c>
      <c r="C3" s="4"/>
      <c r="D3" s="4"/>
      <c r="E3" s="4"/>
      <c r="F3" s="5"/>
      <c r="G3" s="12"/>
      <c r="H3" s="2"/>
      <c r="I3" s="13"/>
      <c r="J3" s="2"/>
      <c r="K3" s="13"/>
      <c r="L3" s="2"/>
      <c r="M3" s="13"/>
      <c r="N3" s="1"/>
      <c r="O3" s="15"/>
      <c r="P3" s="4"/>
      <c r="Q3" s="5"/>
      <c r="R3" s="1"/>
    </row>
    <row r="4" ht="26.25" customHeight="1">
      <c r="A4" s="1"/>
      <c r="B4" s="17" t="s">
        <v>47</v>
      </c>
      <c r="C4" s="18"/>
      <c r="D4" s="18"/>
      <c r="E4" s="18"/>
      <c r="F4" s="19"/>
      <c r="G4" s="21"/>
      <c r="H4" s="22"/>
      <c r="I4" s="12"/>
      <c r="J4" s="22"/>
      <c r="K4" s="12"/>
      <c r="L4" s="22"/>
      <c r="M4" s="12"/>
      <c r="N4" s="1"/>
      <c r="O4" s="23" t="str">
        <f>image("https://archives.bulbagarden.net/media/upload/0/08/NormalIC_SV.png")</f>
        <v/>
      </c>
      <c r="P4" s="23"/>
      <c r="Q4" s="23" t="str">
        <f>image("https://i.imgur.com/0ArMZjJ.png")</f>
        <v/>
      </c>
      <c r="R4" s="1"/>
    </row>
    <row r="5" ht="26.25" customHeight="1">
      <c r="A5" s="1"/>
      <c r="B5" s="25"/>
      <c r="F5" s="26"/>
      <c r="G5" s="21"/>
      <c r="H5" s="27" t="s">
        <v>51</v>
      </c>
      <c r="I5" s="29"/>
      <c r="J5" s="29"/>
      <c r="K5" s="29"/>
      <c r="L5" s="29"/>
      <c r="M5" s="30"/>
      <c r="N5" s="1"/>
      <c r="O5" s="23" t="str">
        <f>image("https://archives.bulbagarden.net/media/upload/a/a2/FireIC_SV.png")</f>
        <v/>
      </c>
      <c r="P5" s="23"/>
      <c r="Q5" s="23" t="str">
        <f>image("https://i.imgur.com/RqSOGo6.png")</f>
        <v/>
      </c>
      <c r="R5" s="1"/>
    </row>
    <row r="6" ht="26.25" customHeight="1">
      <c r="A6" s="1"/>
      <c r="B6" s="25"/>
      <c r="F6" s="26"/>
      <c r="G6" s="31"/>
      <c r="H6" s="32" t="s">
        <v>19</v>
      </c>
      <c r="I6" s="34" t="s">
        <v>21</v>
      </c>
      <c r="J6" s="32" t="s">
        <v>52</v>
      </c>
      <c r="K6" s="34" t="s">
        <v>53</v>
      </c>
      <c r="L6" s="32" t="s">
        <v>54</v>
      </c>
      <c r="M6" s="34" t="s">
        <v>55</v>
      </c>
      <c r="N6" s="33"/>
      <c r="O6" s="23" t="str">
        <f>image("https://archives.bulbagarden.net/media/upload/d/de/WaterIC_SV.png")</f>
        <v/>
      </c>
      <c r="P6" s="23"/>
      <c r="Q6" s="23" t="str">
        <f>image("https://i.imgur.com/ef1o2lD.png")</f>
        <v/>
      </c>
      <c r="R6" s="1"/>
    </row>
    <row r="7" ht="26.25" customHeight="1">
      <c r="A7" s="1"/>
      <c r="B7" s="25"/>
      <c r="F7" s="26"/>
      <c r="G7" s="21"/>
      <c r="H7" s="39" t="str">
        <f>image("https://i.imgur.com/RqSOGo6.png")</f>
        <v/>
      </c>
      <c r="I7" s="42" t="str">
        <f>image("https://pokejungle.net/sprites/normal/"&amp;H6&amp;".png")</f>
        <v/>
      </c>
      <c r="J7" s="44" t="str">
        <f>image("https://i.imgur.com/XNzvO0H.png")</f>
        <v/>
      </c>
      <c r="K7" s="42" t="str">
        <f>image("https://pokejungle.net/sprites/normal/"&amp;J6&amp;".png")</f>
        <v/>
      </c>
      <c r="L7" s="16" t="str">
        <f>image("https://i.imgur.com/aeqHLEh.png")</f>
        <v/>
      </c>
      <c r="M7" s="42" t="str">
        <f>image("https://pokejungle.net/sprites/normal/"&amp;L6&amp;".png")</f>
        <v/>
      </c>
      <c r="N7" s="1"/>
      <c r="O7" s="23" t="str">
        <f>image("https://archives.bulbagarden.net/media/upload/7/77/ElectricIC_SV.png")</f>
        <v/>
      </c>
      <c r="P7" s="23"/>
      <c r="Q7" s="23" t="str">
        <f>image("https://i.imgur.com/zpybKax.png")</f>
        <v/>
      </c>
      <c r="R7" s="1"/>
    </row>
    <row r="8" ht="26.25" customHeight="1">
      <c r="A8" s="1"/>
      <c r="B8" s="25"/>
      <c r="F8" s="26"/>
      <c r="G8" s="21"/>
      <c r="H8" s="45"/>
      <c r="I8" s="36"/>
      <c r="J8" s="45" t="str">
        <f>image("https://i.imgur.com/SF5CZ6U.png")</f>
        <v/>
      </c>
      <c r="K8" s="36"/>
      <c r="L8" s="46" t="str">
        <f>image("https://i.imgur.com/bxys1sd.png")</f>
        <v/>
      </c>
      <c r="M8" s="36"/>
      <c r="N8" s="1"/>
      <c r="O8" s="23" t="str">
        <f>image("https://archives.bulbagarden.net/media/upload/7/7b/GrassIC_SV.png")</f>
        <v/>
      </c>
      <c r="P8" s="23"/>
      <c r="Q8" s="23" t="str">
        <f>image("https://i.imgur.com/VQL4lPa.png")</f>
        <v/>
      </c>
      <c r="R8" s="1"/>
    </row>
    <row r="9" ht="26.25" customHeight="1">
      <c r="A9" s="1"/>
      <c r="B9" s="25"/>
      <c r="F9" s="26"/>
      <c r="G9" s="21"/>
      <c r="H9" s="47"/>
      <c r="I9" s="41"/>
      <c r="J9" s="48"/>
      <c r="K9" s="41"/>
      <c r="L9" s="43" t="str">
        <f>image("https://i.imgur.com/0ArMZjJ.png")</f>
        <v/>
      </c>
      <c r="M9" s="41"/>
      <c r="N9" s="1"/>
      <c r="O9" s="23" t="str">
        <f>image("https://archives.bulbagarden.net/media/upload/1/13/IceIC_SV.png")</f>
        <v/>
      </c>
      <c r="P9" s="23"/>
      <c r="Q9" s="23" t="str">
        <f>image("https://i.imgur.com/XNzvO0H.png")</f>
        <v/>
      </c>
      <c r="R9" s="1"/>
    </row>
    <row r="10" ht="26.25" customHeight="1">
      <c r="A10" s="1"/>
      <c r="B10" s="25"/>
      <c r="F10" s="26"/>
      <c r="G10" s="21"/>
      <c r="H10" s="16" t="str">
        <f>image("https://i.imgur.com/EkqYYOB.png")</f>
        <v/>
      </c>
      <c r="I10" s="42" t="str">
        <f>image("https://pokejungle.net/sprites/shiny/"&amp;H6&amp;".png")</f>
        <v/>
      </c>
      <c r="J10" s="16" t="str">
        <f>image("https://i.imgur.com/rAI9Gyi.png")</f>
        <v/>
      </c>
      <c r="K10" s="42" t="str">
        <f>image("https://pokejungle.net/sprites/shiny/"&amp;J6&amp;".png")</f>
        <v/>
      </c>
      <c r="L10" s="39" t="str">
        <f>image("https://i.imgur.com/XNzvO0H.png")</f>
        <v/>
      </c>
      <c r="M10" s="42" t="str">
        <f>image("https://pokejungle.net/sprites/shiny/"&amp;L6&amp;".png")</f>
        <v/>
      </c>
      <c r="N10" s="1"/>
      <c r="O10" s="23" t="str">
        <f>image("https://archives.bulbagarden.net/media/upload/0/0f/FightingIC_SV.png")</f>
        <v/>
      </c>
      <c r="P10" s="23"/>
      <c r="Q10" s="23" t="str">
        <f>image("https://i.imgur.com/EkqYYOB.png")</f>
        <v/>
      </c>
      <c r="R10" s="1"/>
    </row>
    <row r="11" ht="26.25" customHeight="1">
      <c r="A11" s="1"/>
      <c r="B11" s="25"/>
      <c r="F11" s="26"/>
      <c r="G11" s="21"/>
      <c r="H11" s="46"/>
      <c r="I11" s="36"/>
      <c r="J11" s="46" t="str">
        <f>image("https://i.imgur.com/XI18XGu.png")</f>
        <v/>
      </c>
      <c r="K11" s="36"/>
      <c r="L11" s="49" t="str">
        <f>image("https://i.imgur.com/SF5CZ6U.png")</f>
        <v/>
      </c>
      <c r="M11" s="36"/>
      <c r="N11" s="1"/>
      <c r="O11" s="23" t="str">
        <f>image("https://archives.bulbagarden.net/media/upload/9/9d/PoisonIC_SV.png")</f>
        <v/>
      </c>
      <c r="P11" s="23"/>
      <c r="Q11" s="23" t="str">
        <f>image("https://i.imgur.com/JOd7Boe.png")</f>
        <v/>
      </c>
      <c r="R11" s="1"/>
    </row>
    <row r="12" ht="26.25" customHeight="1">
      <c r="A12" s="1"/>
      <c r="B12" s="25"/>
      <c r="F12" s="26"/>
      <c r="G12" s="21"/>
      <c r="H12" s="43"/>
      <c r="I12" s="41"/>
      <c r="J12" s="43" t="str">
        <f>image("https://i.imgur.com/a9HBljD.png")</f>
        <v/>
      </c>
      <c r="K12" s="41"/>
      <c r="L12" s="47" t="str">
        <f>image("https://i.imgur.com/bxys1sd.png")</f>
        <v/>
      </c>
      <c r="M12" s="41"/>
      <c r="N12" s="1"/>
      <c r="O12" s="23" t="str">
        <f>image("https://archives.bulbagarden.net/media/upload/f/f8/GroundIC_SV.png")</f>
        <v/>
      </c>
      <c r="P12" s="23"/>
      <c r="Q12" s="23" t="str">
        <f>image("https://i.imgur.com/XIu6jDl.png")</f>
        <v/>
      </c>
      <c r="R12" s="1"/>
    </row>
    <row r="13" ht="26.25" customHeight="1">
      <c r="A13" s="1"/>
      <c r="B13" s="25"/>
      <c r="F13" s="26"/>
      <c r="G13" s="21"/>
      <c r="H13" s="2"/>
      <c r="I13" s="1"/>
      <c r="J13" s="2"/>
      <c r="K13" s="1"/>
      <c r="L13" s="2"/>
      <c r="M13" s="1"/>
      <c r="N13" s="1"/>
      <c r="O13" s="23" t="str">
        <f>image("https://archives.bulbagarden.net/media/upload/d/d7/FlyingIC_SV.png")</f>
        <v/>
      </c>
      <c r="P13" s="23"/>
      <c r="Q13" s="23" t="str">
        <f>image("https://i.imgur.com/lKAfx6k.png")</f>
        <v/>
      </c>
      <c r="R13" s="1"/>
    </row>
    <row r="14" ht="26.25" customHeight="1">
      <c r="A14" s="1"/>
      <c r="B14" s="50"/>
      <c r="C14" s="51"/>
      <c r="D14" s="51"/>
      <c r="E14" s="51"/>
      <c r="F14" s="52"/>
      <c r="G14" s="21"/>
      <c r="H14" s="53"/>
      <c r="I14" s="54"/>
      <c r="J14" s="53"/>
      <c r="K14" s="54"/>
      <c r="L14" s="53"/>
      <c r="M14" s="54"/>
      <c r="N14" s="1"/>
      <c r="O14" s="23" t="str">
        <f>image("https://archives.bulbagarden.net/media/upload/9/96/PsychicIC_SV.png")</f>
        <v/>
      </c>
      <c r="P14" s="23"/>
      <c r="Q14" s="23" t="str">
        <f>image("https://i.imgur.com/rAI9Gyi.png")</f>
        <v/>
      </c>
      <c r="R14" s="1"/>
    </row>
    <row r="15" ht="26.25" customHeight="1">
      <c r="A15" s="1"/>
      <c r="B15" s="55"/>
      <c r="C15" s="55"/>
      <c r="D15" s="56"/>
      <c r="E15" s="54"/>
      <c r="F15" s="56"/>
      <c r="G15" s="54"/>
      <c r="H15" s="57"/>
      <c r="I15" s="54"/>
      <c r="J15" s="57"/>
      <c r="K15" s="54"/>
      <c r="L15" s="58"/>
      <c r="M15" s="54"/>
      <c r="N15" s="1"/>
      <c r="O15" s="23" t="str">
        <f>image("https://archives.bulbagarden.net/media/upload/d/d1/BugIC_SV.png")</f>
        <v/>
      </c>
      <c r="P15" s="23"/>
      <c r="Q15" s="23" t="str">
        <f>image("https://i.imgur.com/XzidFHI.png")</f>
        <v/>
      </c>
      <c r="R15" s="1"/>
    </row>
    <row r="16" ht="26.25" customHeight="1">
      <c r="A16" s="1"/>
      <c r="B16" s="59" t="s">
        <v>102</v>
      </c>
      <c r="C16" s="55"/>
      <c r="D16" s="60" t="str">
        <f>image("https://i.imgur.com/bxys1sd.png")</f>
        <v/>
      </c>
      <c r="E16" s="53" t="s">
        <v>103</v>
      </c>
      <c r="F16" s="60" t="str">
        <f>image("https://i.imgur.com/rAI9Gyi.png")</f>
        <v/>
      </c>
      <c r="G16" s="53" t="s">
        <v>104</v>
      </c>
      <c r="H16" s="60" t="str">
        <f>image("https://i.imgur.com/JOd7Boe.png")</f>
        <v/>
      </c>
      <c r="I16" s="53" t="s">
        <v>105</v>
      </c>
      <c r="J16" s="60" t="str">
        <f>image("https://i.imgur.com/lKAfx6k.png")</f>
        <v/>
      </c>
      <c r="K16" s="53" t="s">
        <v>106</v>
      </c>
      <c r="L16" s="60" t="str">
        <f>image("https://i.imgur.com/a9HBljD.png")</f>
        <v/>
      </c>
      <c r="M16" s="53" t="s">
        <v>107</v>
      </c>
      <c r="N16" s="1"/>
      <c r="O16" s="23" t="str">
        <f>image("https://archives.bulbagarden.net/media/upload/3/32/RockIC_SV.png")</f>
        <v/>
      </c>
      <c r="P16" s="23"/>
      <c r="Q16" s="23" t="str">
        <f>image("https://i.imgur.com/rJhTvoD.png")</f>
        <v/>
      </c>
      <c r="R16" s="1"/>
    </row>
    <row r="17" ht="26.25" customHeight="1">
      <c r="A17" s="1"/>
      <c r="B17" s="25"/>
      <c r="C17" s="55"/>
      <c r="D17" s="60" t="str">
        <f>image("https://i.imgur.com/SF5CZ6U.png")</f>
        <v/>
      </c>
      <c r="E17" s="53" t="s">
        <v>108</v>
      </c>
      <c r="F17" s="60" t="str">
        <f>image("https://i.imgur.com/XzidFHI.png")</f>
        <v/>
      </c>
      <c r="G17" s="53" t="s">
        <v>109</v>
      </c>
      <c r="H17" s="60" t="str">
        <f>image("https://i.imgur.com/zpybKax.png")</f>
        <v/>
      </c>
      <c r="I17" s="53" t="s">
        <v>110</v>
      </c>
      <c r="J17" s="60" t="str">
        <f>image("https://i.imgur.com/VQL4lPa.png")</f>
        <v/>
      </c>
      <c r="K17" s="53" t="s">
        <v>111</v>
      </c>
      <c r="L17" s="60" t="str">
        <f>image("https://i.imgur.com/JDgAgAO.png")</f>
        <v/>
      </c>
      <c r="M17" s="53" t="s">
        <v>112</v>
      </c>
      <c r="N17" s="1"/>
      <c r="O17" s="23" t="str">
        <f>image("https://archives.bulbagarden.net/media/upload/2/2c/GhostIC_SV.png")</f>
        <v/>
      </c>
      <c r="P17" s="23"/>
      <c r="Q17" s="23" t="str">
        <f>image("https://i.imgur.com/N2Wqr43.png")</f>
        <v/>
      </c>
      <c r="R17" s="1"/>
    </row>
    <row r="18" ht="26.25" customHeight="1">
      <c r="A18" s="1"/>
      <c r="B18" s="25"/>
      <c r="C18" s="55"/>
      <c r="D18" s="60" t="str">
        <f>image("https://i.imgur.com/beHgI95.png")</f>
        <v/>
      </c>
      <c r="E18" s="53" t="s">
        <v>113</v>
      </c>
      <c r="F18" s="60" t="str">
        <f>image("https://i.imgur.com/XIu6jDl.png")</f>
        <v/>
      </c>
      <c r="G18" s="53" t="s">
        <v>114</v>
      </c>
      <c r="H18" s="60" t="str">
        <f>image("https://i.imgur.com/RqSOGo6.png")</f>
        <v/>
      </c>
      <c r="I18" s="53" t="s">
        <v>115</v>
      </c>
      <c r="J18" s="60" t="str">
        <f>image("https://i.imgur.com/ef1o2lD.png")</f>
        <v/>
      </c>
      <c r="K18" s="53" t="s">
        <v>116</v>
      </c>
      <c r="L18" s="60" t="str">
        <f>image("https://i.imgur.com/XI18XGu.png")</f>
        <v/>
      </c>
      <c r="M18" s="53" t="s">
        <v>117</v>
      </c>
      <c r="N18" s="1"/>
      <c r="O18" s="23" t="str">
        <f>image("https://archives.bulbagarden.net/media/upload/7/7f/DragonIC_SV.png")</f>
        <v/>
      </c>
      <c r="P18" s="23"/>
      <c r="Q18" s="23" t="str">
        <f>image("https://i.imgur.com/SF5CZ6U.png")</f>
        <v/>
      </c>
      <c r="R18" s="1"/>
    </row>
    <row r="19" ht="26.25" customHeight="1">
      <c r="A19" s="1"/>
      <c r="B19" s="25"/>
      <c r="C19" s="55"/>
      <c r="D19" s="60" t="str">
        <f>image("https://i.imgur.com/nNTmuH8.png")</f>
        <v/>
      </c>
      <c r="E19" s="53" t="s">
        <v>134</v>
      </c>
      <c r="F19" s="60" t="str">
        <f>image("https://i.imgur.com/XNzvO0H.png")</f>
        <v/>
      </c>
      <c r="G19" s="53" t="s">
        <v>135</v>
      </c>
      <c r="H19" s="60" t="str">
        <f>image("https://i.imgur.com/EkqYYOB.png")</f>
        <v/>
      </c>
      <c r="I19" s="53" t="s">
        <v>136</v>
      </c>
      <c r="J19" s="60" t="str">
        <f>image("https://i.imgur.com/rJhTvoD.png")</f>
        <v/>
      </c>
      <c r="K19" s="53" t="s">
        <v>137</v>
      </c>
      <c r="L19" s="60" t="str">
        <f>image("https://i.imgur.com/IIajvuS.png")</f>
        <v/>
      </c>
      <c r="M19" s="53" t="s">
        <v>138</v>
      </c>
      <c r="N19" s="1"/>
      <c r="O19" s="23" t="str">
        <f>image("https://archives.bulbagarden.net/media/upload/3/30/DarkIC_SV.png")</f>
        <v/>
      </c>
      <c r="P19" s="23"/>
      <c r="Q19" s="23" t="str">
        <f>image("https://i.imgur.com/JDgAgAO.png")</f>
        <v/>
      </c>
      <c r="R19" s="1"/>
    </row>
    <row r="20" ht="26.25" customHeight="1">
      <c r="A20" s="1"/>
      <c r="B20" s="50"/>
      <c r="C20" s="55"/>
      <c r="D20" s="60" t="str">
        <f>image("https://i.imgur.com/0ArMZjJ.png")</f>
        <v/>
      </c>
      <c r="E20" s="53" t="s">
        <v>148</v>
      </c>
      <c r="F20" s="60" t="str">
        <f>image("https://i.imgur.com/N2Wqr43.png")</f>
        <v/>
      </c>
      <c r="G20" s="53" t="s">
        <v>157</v>
      </c>
      <c r="H20" s="60" t="str">
        <f>image("https://i.imgur.com/lpOVjtL.png")</f>
        <v/>
      </c>
      <c r="I20" s="53" t="s">
        <v>163</v>
      </c>
      <c r="J20" s="60" t="str">
        <f>image("https://i.imgur.com/NkILW1J.png")</f>
        <v/>
      </c>
      <c r="K20" s="53" t="s">
        <v>169</v>
      </c>
      <c r="L20" s="60" t="str">
        <f>image("https://i.imgur.com/GyNf8BH.png")</f>
        <v/>
      </c>
      <c r="M20" s="53" t="s">
        <v>173</v>
      </c>
      <c r="N20" s="1"/>
      <c r="O20" s="23" t="str">
        <f>image("https://archives.bulbagarden.net/media/upload/b/b8/SteelIC_SV.png")</f>
        <v/>
      </c>
      <c r="P20" s="23"/>
      <c r="Q20" s="23" t="str">
        <f>image("https://i.imgur.com/NkILW1J.png")</f>
        <v/>
      </c>
      <c r="R20" s="1"/>
    </row>
    <row r="21" ht="26.25" customHeight="1">
      <c r="A21" s="1"/>
      <c r="B21" s="61"/>
      <c r="C21" s="61"/>
      <c r="D21" s="61"/>
      <c r="E21" s="61"/>
      <c r="F21" s="60" t="str">
        <f>image("https://i.imgur.com/eru43o1.png")</f>
        <v/>
      </c>
      <c r="G21" s="62" t="s">
        <v>174</v>
      </c>
      <c r="H21" s="63"/>
      <c r="I21" s="61"/>
      <c r="J21" s="60" t="str">
        <f>image("https://i.imgur.com/aeqHLEh.png")</f>
        <v/>
      </c>
      <c r="K21" s="62" t="s">
        <v>175</v>
      </c>
      <c r="L21" s="63"/>
      <c r="M21" s="61"/>
      <c r="N21" s="1"/>
      <c r="O21" s="23" t="str">
        <f>image("https://archives.bulbagarden.net/media/upload/c/c6/FairyIC_SV.png")</f>
        <v/>
      </c>
      <c r="P21" s="23"/>
      <c r="Q21" s="23" t="str">
        <f>image("https://i.imgur.com/a9HBljD.png")</f>
        <v/>
      </c>
      <c r="R21" s="1"/>
    </row>
    <row r="22" ht="26.25" customHeight="1">
      <c r="A22" s="1"/>
      <c r="B22" s="61"/>
      <c r="C22" s="61"/>
      <c r="D22" s="61"/>
      <c r="E22" s="61"/>
      <c r="F22" s="61"/>
      <c r="G22" s="61"/>
      <c r="H22" s="63"/>
      <c r="I22" s="61"/>
      <c r="J22" s="63"/>
      <c r="K22" s="61"/>
      <c r="L22" s="63"/>
      <c r="M22" s="61"/>
      <c r="N22" s="1"/>
      <c r="O22" s="23"/>
      <c r="P22" s="23"/>
      <c r="Q22" s="23"/>
      <c r="R22" s="1"/>
    </row>
    <row r="23" ht="26.25" customHeight="1">
      <c r="A23" s="1"/>
      <c r="B23" s="64" t="s">
        <v>176</v>
      </c>
      <c r="C23" s="4"/>
      <c r="D23" s="4"/>
      <c r="E23" s="4"/>
      <c r="F23" s="4"/>
      <c r="G23" s="4"/>
      <c r="H23" s="4"/>
      <c r="I23" s="4"/>
      <c r="J23" s="4"/>
      <c r="K23" s="4"/>
      <c r="L23" s="4"/>
      <c r="M23" s="4"/>
      <c r="N23" s="4"/>
      <c r="O23" s="4"/>
      <c r="P23" s="4"/>
      <c r="Q23" s="5"/>
      <c r="R23" s="1"/>
    </row>
    <row r="24" ht="18.75" customHeight="1">
      <c r="A24" s="1"/>
      <c r="B24" s="1"/>
      <c r="C24" s="1"/>
      <c r="D24" s="1"/>
      <c r="E24" s="1"/>
      <c r="F24" s="1"/>
      <c r="G24" s="1"/>
      <c r="H24" s="2"/>
      <c r="I24" s="1"/>
      <c r="J24" s="2"/>
      <c r="K24" s="1"/>
      <c r="L24" s="2"/>
      <c r="M24" s="1"/>
      <c r="N24" s="1"/>
      <c r="O24" s="1"/>
      <c r="P24" s="1"/>
      <c r="Q24" s="1"/>
      <c r="R24" s="1"/>
    </row>
    <row r="25" ht="18.75" customHeight="1">
      <c r="A25" s="65" t="str">
        <f>HYPERLINK("https://www.reddit.com/user/OracleLink","  Compiled by: reddit.com/user/OracleLink")</f>
        <v>  Compiled by: reddit.com/user/OracleLink</v>
      </c>
      <c r="B25" s="4"/>
      <c r="C25" s="4"/>
      <c r="D25" s="4"/>
      <c r="E25" s="66" t="s">
        <v>177</v>
      </c>
      <c r="F25" s="4"/>
      <c r="G25" s="4"/>
      <c r="H25" s="4"/>
      <c r="I25" s="4"/>
      <c r="J25" s="4"/>
      <c r="K25" s="4"/>
      <c r="L25" s="4"/>
      <c r="M25" s="67" t="s">
        <v>194</v>
      </c>
      <c r="N25" s="4"/>
      <c r="O25" s="4"/>
      <c r="P25" s="4"/>
      <c r="Q25" s="4"/>
      <c r="R25" s="4"/>
    </row>
  </sheetData>
  <mergeCells count="17">
    <mergeCell ref="K7:K9"/>
    <mergeCell ref="M7:M9"/>
    <mergeCell ref="I10:I12"/>
    <mergeCell ref="K10:K12"/>
    <mergeCell ref="B4:F14"/>
    <mergeCell ref="B16:B20"/>
    <mergeCell ref="A25:D25"/>
    <mergeCell ref="B23:Q23"/>
    <mergeCell ref="E25:L25"/>
    <mergeCell ref="M25:R25"/>
    <mergeCell ref="B2:M2"/>
    <mergeCell ref="O2:Q2"/>
    <mergeCell ref="B3:F3"/>
    <mergeCell ref="O3:Q3"/>
    <mergeCell ref="H5:M5"/>
    <mergeCell ref="I7:I9"/>
    <mergeCell ref="M10:M12"/>
  </mergeCells>
  <hyperlinks>
    <hyperlink r:id="rId1" ref="E25"/>
    <hyperlink r:id="rId2" ref="M2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6"/>
      <c r="B1" s="8" t="s">
        <v>2</v>
      </c>
      <c r="C1" s="10" t="s">
        <v>3</v>
      </c>
      <c r="D1" s="8" t="s">
        <v>4</v>
      </c>
      <c r="E1" s="10" t="s">
        <v>6</v>
      </c>
      <c r="F1" s="8" t="s">
        <v>7</v>
      </c>
      <c r="G1" s="10" t="s">
        <v>9</v>
      </c>
      <c r="H1" s="8" t="s">
        <v>11</v>
      </c>
      <c r="I1" s="10" t="s">
        <v>13</v>
      </c>
      <c r="J1" s="8" t="s">
        <v>15</v>
      </c>
      <c r="K1" s="10" t="s">
        <v>17</v>
      </c>
      <c r="L1" s="8" t="s">
        <v>19</v>
      </c>
      <c r="M1" s="10" t="s">
        <v>21</v>
      </c>
      <c r="N1" s="8" t="s">
        <v>24</v>
      </c>
      <c r="O1" s="10" t="s">
        <v>27</v>
      </c>
      <c r="P1" s="8" t="s">
        <v>28</v>
      </c>
      <c r="Q1" s="10" t="s">
        <v>30</v>
      </c>
      <c r="R1" s="14"/>
    </row>
    <row r="2" ht="26.25" customHeight="1">
      <c r="A2" s="15"/>
      <c r="B2" s="16" t="str">
        <f>image("https://i.imgur.com/VQL4lPa.png")</f>
        <v/>
      </c>
      <c r="C2" s="20" t="str">
        <f>image("https://pokejungle.net/sprites/normal/"&amp;B1&amp;".png")</f>
        <v/>
      </c>
      <c r="D2" s="16" t="str">
        <f>image("https://i.imgur.com/VQL4lPa.png")</f>
        <v/>
      </c>
      <c r="E2" s="20" t="str">
        <f>image("https://pokejungle.net/sprites/normal/"&amp;D1&amp;".png")</f>
        <v/>
      </c>
      <c r="F2" s="16" t="str">
        <f>image("https://i.imgur.com/VQL4lPa.png")</f>
        <v/>
      </c>
      <c r="G2" s="20" t="str">
        <f>image("https://pokejungle.net/sprites/normal/"&amp;F1&amp;".png")</f>
        <v/>
      </c>
      <c r="H2" s="24" t="str">
        <f>image("https://i.imgur.com/RqSOGo6.png")</f>
        <v/>
      </c>
      <c r="I2" s="20" t="str">
        <f>image("https://pokejungle.net/sprites/normal/"&amp;H1&amp;".png")</f>
        <v/>
      </c>
      <c r="J2" s="16" t="str">
        <f>image("https://i.imgur.com/RqSOGo6.png")</f>
        <v/>
      </c>
      <c r="K2" s="20" t="str">
        <f>image("https://pokejungle.net/sprites/normal/"&amp;J1&amp;".png")</f>
        <v/>
      </c>
      <c r="L2" s="28" t="str">
        <f>image("https://i.imgur.com/RqSOGo6.png")</f>
        <v/>
      </c>
      <c r="M2" s="20" t="str">
        <f>image("https://pokejungle.net/sprites/normal/"&amp;L1&amp;".png")</f>
        <v/>
      </c>
      <c r="N2" s="16" t="str">
        <f>image("https://i.imgur.com/XNzvO0H.png")</f>
        <v/>
      </c>
      <c r="O2" s="20" t="str">
        <f>image("https://pokejungle.net/sprites/normal/"&amp;N1&amp;".png")</f>
        <v/>
      </c>
      <c r="P2" s="16" t="str">
        <f>image("https://i.imgur.com/XNzvO0H.png")</f>
        <v/>
      </c>
      <c r="Q2" s="20" t="str">
        <f>image("https://pokejungle.net/sprites/normal/"&amp;P1&amp;".png")</f>
        <v/>
      </c>
      <c r="R2" s="33"/>
    </row>
    <row r="3" ht="26.25" customHeight="1">
      <c r="A3" s="15"/>
      <c r="B3" s="35" t="str">
        <f>image("https://i.imgur.com/ef1o2lD.png")</f>
        <v/>
      </c>
      <c r="C3" s="36"/>
      <c r="D3" s="35" t="str">
        <f>image("https://i.imgur.com/ef1o2lD.png")</f>
        <v/>
      </c>
      <c r="E3" s="36"/>
      <c r="F3" s="35" t="str">
        <f>image("https://i.imgur.com/ef1o2lD.png")</f>
        <v/>
      </c>
      <c r="G3" s="36"/>
      <c r="H3" s="37"/>
      <c r="I3" s="36"/>
      <c r="J3" s="38" t="str">
        <f>image("https://i.imgur.com/bxys1sd.png")</f>
        <v/>
      </c>
      <c r="K3" s="36"/>
      <c r="L3" s="35"/>
      <c r="M3" s="36"/>
      <c r="N3" s="38" t="str">
        <f>image("https://i.imgur.com/JDgAgAO.png")</f>
        <v/>
      </c>
      <c r="O3" s="36"/>
      <c r="P3" s="38" t="str">
        <f>image("https://i.imgur.com/JDgAgAO.png")</f>
        <v/>
      </c>
      <c r="Q3" s="36"/>
      <c r="R3" s="33"/>
    </row>
    <row r="4" ht="26.25" customHeight="1">
      <c r="A4" s="15"/>
      <c r="B4" s="40" t="str">
        <f>image("https://i.imgur.com/SF5CZ6U.png")</f>
        <v/>
      </c>
      <c r="C4" s="41"/>
      <c r="D4" s="40" t="str">
        <f>image("https://i.imgur.com/SF5CZ6U.png")</f>
        <v/>
      </c>
      <c r="E4" s="41"/>
      <c r="F4" s="40" t="str">
        <f>image("https://i.imgur.com/SF5CZ6U.png")</f>
        <v/>
      </c>
      <c r="G4" s="41"/>
      <c r="H4" s="40"/>
      <c r="I4" s="41"/>
      <c r="J4" s="40"/>
      <c r="K4" s="41"/>
      <c r="L4" s="43"/>
      <c r="M4" s="41"/>
      <c r="N4" s="43"/>
      <c r="O4" s="41"/>
      <c r="P4" s="43"/>
      <c r="Q4" s="41"/>
      <c r="R4" s="33"/>
    </row>
    <row r="5" ht="26.25" customHeight="1">
      <c r="A5" s="15"/>
      <c r="B5" s="16" t="str">
        <f>image("https://i.imgur.com/VQL4lPa.png")</f>
        <v/>
      </c>
      <c r="C5" s="20" t="str">
        <f>image("https://pokejungle.net/sprites/shiny/"&amp;B1&amp;".png")</f>
        <v/>
      </c>
      <c r="D5" s="16" t="str">
        <f>image("https://i.imgur.com/XIu6jDl.png")</f>
        <v/>
      </c>
      <c r="E5" s="20" t="str">
        <f>image("https://pokejungle.net/sprites/shiny/"&amp;D1&amp;".png")</f>
        <v/>
      </c>
      <c r="F5" s="16" t="str">
        <f>image("https://i.imgur.com/XIu6jDl.png")</f>
        <v/>
      </c>
      <c r="G5" s="20" t="str">
        <f>image("https://pokejungle.net/sprites/shiny/"&amp;F1&amp;"-f.png")</f>
        <v/>
      </c>
      <c r="H5" s="16" t="str">
        <f>image("https://i.imgur.com/rJhTvoD.png")</f>
        <v/>
      </c>
      <c r="I5" s="20" t="str">
        <f>image("https://pokejungle.net/sprites/shiny/"&amp;H1&amp;".png")</f>
        <v/>
      </c>
      <c r="J5" s="16" t="str">
        <f>image("https://i.imgur.com/rJhTvoD.png")</f>
        <v/>
      </c>
      <c r="K5" s="20" t="str">
        <f>image("https://pokejungle.net/sprites/shiny/"&amp;J1&amp;".png")</f>
        <v/>
      </c>
      <c r="L5" s="16" t="str">
        <f>image("https://i.imgur.com/EkqYYOB.png")</f>
        <v/>
      </c>
      <c r="M5" s="20" t="str">
        <f>image("https://pokejungle.net/sprites/shiny/"&amp;L1&amp;".png")</f>
        <v/>
      </c>
      <c r="N5" s="16" t="str">
        <f>image("https://i.imgur.com/XNzvO0H.png")</f>
        <v/>
      </c>
      <c r="O5" s="20" t="str">
        <f>image("https://pokejungle.net/sprites/shiny/"&amp;N1&amp;".png")</f>
        <v/>
      </c>
      <c r="P5" s="16" t="str">
        <f>image("https://i.imgur.com/XIu6jDl.png")</f>
        <v/>
      </c>
      <c r="Q5" s="20" t="str">
        <f>image("https://pokejungle.net/sprites/shiny/"&amp;P1&amp;".png")</f>
        <v/>
      </c>
      <c r="R5" s="33"/>
    </row>
    <row r="6" ht="26.25" customHeight="1">
      <c r="A6" s="15"/>
      <c r="B6" s="38" t="str">
        <f>image("https://i.imgur.com/XIu6jDl.png")</f>
        <v/>
      </c>
      <c r="C6" s="36"/>
      <c r="D6" s="46" t="str">
        <f>image("https://i.imgur.com/VQL4lPa.png")</f>
        <v/>
      </c>
      <c r="E6" s="36"/>
      <c r="F6" s="35" t="str">
        <f>image("https://i.imgur.com/VQL4lPa.png")</f>
        <v/>
      </c>
      <c r="G6" s="36"/>
      <c r="H6" s="46" t="str">
        <f>image("https://i.imgur.com/RqSOGo6.png")</f>
        <v/>
      </c>
      <c r="I6" s="36"/>
      <c r="J6" s="38" t="str">
        <f>image("https://i.imgur.com/RqSOGo6.png")</f>
        <v/>
      </c>
      <c r="K6" s="36"/>
      <c r="L6" s="46" t="str">
        <f>image("https://i.imgur.com/JOd7Boe.png")</f>
        <v/>
      </c>
      <c r="M6" s="36"/>
      <c r="N6" s="38" t="str">
        <f>image("https://i.imgur.com/lpOVjtL.png")</f>
        <v/>
      </c>
      <c r="O6" s="36"/>
      <c r="P6" s="38" t="str">
        <f>image("https://i.imgur.com/lpOVjtL.png")</f>
        <v/>
      </c>
      <c r="Q6" s="36"/>
      <c r="R6" s="33"/>
    </row>
    <row r="7" ht="26.25" customHeight="1">
      <c r="A7" s="15"/>
      <c r="B7" s="40"/>
      <c r="C7" s="41"/>
      <c r="D7" s="43"/>
      <c r="E7" s="41"/>
      <c r="F7" s="40"/>
      <c r="G7" s="41"/>
      <c r="H7" s="43"/>
      <c r="I7" s="41"/>
      <c r="J7" s="40"/>
      <c r="K7" s="41"/>
      <c r="L7" s="43"/>
      <c r="M7" s="41"/>
      <c r="N7" s="40"/>
      <c r="O7" s="41"/>
      <c r="P7" s="40" t="str">
        <f>image("https://i.imgur.com/XI18XGu.png")</f>
        <v/>
      </c>
      <c r="Q7" s="41"/>
      <c r="R7" s="33"/>
    </row>
    <row r="8" ht="18.75" customHeight="1">
      <c r="A8" s="6"/>
      <c r="B8" s="8" t="s">
        <v>56</v>
      </c>
      <c r="C8" s="10" t="s">
        <v>57</v>
      </c>
      <c r="D8" s="8" t="s">
        <v>58</v>
      </c>
      <c r="E8" s="10" t="s">
        <v>59</v>
      </c>
      <c r="F8" s="8" t="s">
        <v>60</v>
      </c>
      <c r="G8" s="10" t="s">
        <v>61</v>
      </c>
      <c r="H8" s="8" t="s">
        <v>62</v>
      </c>
      <c r="I8" s="10" t="s">
        <v>63</v>
      </c>
      <c r="J8" s="8" t="s">
        <v>64</v>
      </c>
      <c r="K8" s="10" t="s">
        <v>65</v>
      </c>
      <c r="L8" s="8" t="s">
        <v>66</v>
      </c>
      <c r="M8" s="10" t="s">
        <v>67</v>
      </c>
      <c r="N8" s="8" t="s">
        <v>68</v>
      </c>
      <c r="O8" s="10" t="s">
        <v>69</v>
      </c>
      <c r="P8" s="8" t="s">
        <v>70</v>
      </c>
      <c r="Q8" s="10" t="s">
        <v>71</v>
      </c>
      <c r="R8" s="14"/>
    </row>
    <row r="9" ht="26.25" customHeight="1">
      <c r="A9" s="15"/>
      <c r="B9" s="16" t="str">
        <f>image("https://i.imgur.com/XNzvO0H.png")</f>
        <v/>
      </c>
      <c r="C9" s="20" t="str">
        <f>image("https://pokejungle.net/sprites/normal/"&amp;B8&amp;".png")</f>
        <v/>
      </c>
      <c r="D9" s="16" t="str">
        <f>image("https://i.imgur.com/XIu6jDl.png")</f>
        <v/>
      </c>
      <c r="E9" s="20" t="str">
        <f>image("https://pokejungle.net/sprites/normal/"&amp;D8&amp;".png")</f>
        <v/>
      </c>
      <c r="F9" s="16" t="str">
        <f>image("https://i.imgur.com/XIu6jDl.png")</f>
        <v/>
      </c>
      <c r="G9" s="20" t="str">
        <f>image("https://pokejungle.net/sprites/normal/"&amp;F8&amp;".png")</f>
        <v/>
      </c>
      <c r="H9" s="24" t="str">
        <f>image("https://i.imgur.com/JOd7Boe.png")</f>
        <v/>
      </c>
      <c r="I9" s="20" t="str">
        <f>image("https://pokejungle.net/sprites/normal/"&amp;H8&amp;"-f.png")</f>
        <v/>
      </c>
      <c r="J9" s="16" t="str">
        <f>image("https://i.imgur.com/XIu6jDl.png")</f>
        <v/>
      </c>
      <c r="K9" s="20" t="str">
        <f>image("https://pokejungle.net/sprites/normal/"&amp;J8&amp;".png")</f>
        <v/>
      </c>
      <c r="L9" s="28" t="str">
        <f>image("https://i.imgur.com/beHgI95.png")</f>
        <v/>
      </c>
      <c r="M9" s="20" t="str">
        <f>image("https://pokejungle.net/sprites/normal/"&amp;L8&amp;".png")</f>
        <v/>
      </c>
      <c r="N9" s="16" t="str">
        <f>image("https://i.imgur.com/rJhTvoD.png")</f>
        <v/>
      </c>
      <c r="O9" s="20" t="str">
        <f>image("https://pokejungle.net/sprites/normal/"&amp;N8&amp;".png")</f>
        <v/>
      </c>
      <c r="P9" s="16" t="str">
        <f>image("https://i.imgur.com/XIu6jDl.png")</f>
        <v/>
      </c>
      <c r="Q9" s="20" t="str">
        <f>image("https://pokejungle.net/sprites/normal/"&amp;P8&amp;".png")</f>
        <v/>
      </c>
      <c r="R9" s="33"/>
    </row>
    <row r="10" ht="26.25" customHeight="1">
      <c r="A10" s="15"/>
      <c r="B10" s="38" t="str">
        <f>image("https://i.imgur.com/JDgAgAO.png")</f>
        <v/>
      </c>
      <c r="C10" s="36"/>
      <c r="D10" s="35" t="str">
        <f>image("https://i.imgur.com/VQL4lPa.png")</f>
        <v/>
      </c>
      <c r="E10" s="36"/>
      <c r="F10" s="35" t="str">
        <f>image("https://i.imgur.com/VQL4lPa.png")</f>
        <v/>
      </c>
      <c r="G10" s="36"/>
      <c r="H10" s="37" t="str">
        <f>image("https://i.imgur.com/nNTmuH8.png")</f>
        <v/>
      </c>
      <c r="I10" s="36"/>
      <c r="J10" s="38" t="str">
        <f>image("https://i.imgur.com/beHgI95.png")</f>
        <v/>
      </c>
      <c r="K10" s="36"/>
      <c r="L10" s="46" t="str">
        <f>image("https://i.imgur.com/rJhTvoD.png")</f>
        <v/>
      </c>
      <c r="M10" s="36"/>
      <c r="N10" s="35" t="str">
        <f>image("https://i.imgur.com/beHgI95.png")</f>
        <v/>
      </c>
      <c r="O10" s="36"/>
      <c r="P10" s="38" t="str">
        <f>image("https://i.imgur.com/EkqYYOB.png")</f>
        <v/>
      </c>
      <c r="Q10" s="36"/>
      <c r="R10" s="33"/>
    </row>
    <row r="11" ht="26.25" customHeight="1">
      <c r="A11" s="15"/>
      <c r="B11" s="40" t="str">
        <f>image("https://i.imgur.com/NkILW1J.png")</f>
        <v/>
      </c>
      <c r="C11" s="41"/>
      <c r="D11" s="40"/>
      <c r="E11" s="41"/>
      <c r="F11" s="40"/>
      <c r="G11" s="41"/>
      <c r="H11" s="40" t="str">
        <f>image("https://i.imgur.com/rAI9Gyi.png")</f>
        <v/>
      </c>
      <c r="I11" s="41"/>
      <c r="J11" s="40" t="str">
        <f>image("https://i.imgur.com/EkqYYOB.png")</f>
        <v/>
      </c>
      <c r="K11" s="41"/>
      <c r="L11" s="43"/>
      <c r="M11" s="41"/>
      <c r="N11" s="40"/>
      <c r="O11" s="41"/>
      <c r="P11" s="40" t="str">
        <f>image("https://i.imgur.com/lpOVjtL.png")</f>
        <v/>
      </c>
      <c r="Q11" s="41"/>
      <c r="R11" s="33"/>
    </row>
    <row r="12" ht="26.25" customHeight="1">
      <c r="A12" s="15"/>
      <c r="B12" s="16" t="str">
        <f>image("https://i.imgur.com/XIu6jDl.png")</f>
        <v/>
      </c>
      <c r="C12" s="20" t="str">
        <f>image("https://pokejungle.net/sprites/shiny/"&amp;B8&amp;".png")</f>
        <v/>
      </c>
      <c r="D12" s="16" t="str">
        <f>image("https://i.imgur.com/rJhTvoD.png")</f>
        <v/>
      </c>
      <c r="E12" s="20" t="str">
        <f>image("https://pokejungle.net/sprites/shiny/"&amp;D8&amp;".png")</f>
        <v/>
      </c>
      <c r="F12" s="16" t="str">
        <f>image("https://i.imgur.com/RqSOGo6.png")</f>
        <v/>
      </c>
      <c r="G12" s="20" t="str">
        <f>image("https://pokejungle.net/sprites/shiny/"&amp;F8&amp;".png")</f>
        <v/>
      </c>
      <c r="H12" s="16" t="str">
        <f>image("https://i.imgur.com/JOd7Boe.png")</f>
        <v/>
      </c>
      <c r="I12" s="20" t="str">
        <f>image("https://pokejungle.net/sprites/shiny/"&amp;H8&amp;".png")</f>
        <v/>
      </c>
      <c r="J12" s="16" t="str">
        <f>image("https://i.imgur.com/beHgI95.png")</f>
        <v/>
      </c>
      <c r="K12" s="20" t="str">
        <f>image("https://pokejungle.net/sprites/shiny/"&amp;J8&amp;".png")</f>
        <v/>
      </c>
      <c r="L12" s="16" t="str">
        <f>image("https://i.imgur.com/N2Wqr43.png")</f>
        <v/>
      </c>
      <c r="M12" s="20" t="str">
        <f>image("https://pokejungle.net/sprites/shiny/"&amp;L8&amp;".png")</f>
        <v/>
      </c>
      <c r="N12" s="16" t="str">
        <f>image("https://i.imgur.com/N2Wqr43.png")</f>
        <v/>
      </c>
      <c r="O12" s="20" t="str">
        <f>image("https://pokejungle.net/sprites/shiny/"&amp;N8&amp;".png")</f>
        <v/>
      </c>
      <c r="P12" s="16" t="str">
        <f>image("https://i.imgur.com/beHgI95.png")</f>
        <v/>
      </c>
      <c r="Q12" s="20" t="str">
        <f>image("https://pokejungle.net/sprites/shiny/"&amp;P8&amp;".png")</f>
        <v/>
      </c>
      <c r="R12" s="33"/>
    </row>
    <row r="13" ht="26.25" customHeight="1">
      <c r="A13" s="15"/>
      <c r="B13" s="38" t="str">
        <f>image("https://i.imgur.com/lpOVjtL.png")</f>
        <v/>
      </c>
      <c r="C13" s="36"/>
      <c r="D13" s="46" t="str">
        <f>image("https://i.imgur.com/EkqYYOB.png")</f>
        <v/>
      </c>
      <c r="E13" s="36"/>
      <c r="F13" s="37" t="str">
        <f>image("https://i.imgur.com/GyNf8BH.png")</f>
        <v/>
      </c>
      <c r="G13" s="36"/>
      <c r="H13" s="46" t="str">
        <f>image("https://i.imgur.com/XI18XGu.png")</f>
        <v/>
      </c>
      <c r="I13" s="36"/>
      <c r="J13" s="38" t="str">
        <f>image("https://i.imgur.com/EkqYYOB.png")</f>
        <v/>
      </c>
      <c r="K13" s="36"/>
      <c r="L13" s="46" t="str">
        <f>image("https://i.imgur.com/XIu6jDl.png")</f>
        <v/>
      </c>
      <c r="M13" s="36"/>
      <c r="N13" s="38" t="str">
        <f>image("https://i.imgur.com/JDgAgAO.png")</f>
        <v/>
      </c>
      <c r="O13" s="36"/>
      <c r="P13" s="38" t="str">
        <f>image("https://i.imgur.com/EkqYYOB.png")</f>
        <v/>
      </c>
      <c r="Q13" s="36"/>
      <c r="R13" s="33"/>
    </row>
    <row r="14" ht="26.25" customHeight="1">
      <c r="A14" s="15"/>
      <c r="B14" s="40" t="str">
        <f>image("https://i.imgur.com/XI18XGu.png")</f>
        <v/>
      </c>
      <c r="C14" s="41"/>
      <c r="D14" s="43"/>
      <c r="E14" s="41"/>
      <c r="F14" s="40" t="str">
        <f>image("https://i.imgur.com/bxys1sd.png")</f>
        <v/>
      </c>
      <c r="G14" s="41"/>
      <c r="H14" s="43" t="str">
        <f>image("https://i.imgur.com/rAI9Gyi.png")</f>
        <v/>
      </c>
      <c r="I14" s="41"/>
      <c r="J14" s="40"/>
      <c r="K14" s="41"/>
      <c r="L14" s="43" t="str">
        <f>image("https://i.imgur.com/VQL4lPa.png")</f>
        <v/>
      </c>
      <c r="M14" s="41"/>
      <c r="N14" s="40" t="str">
        <f>image("https://i.imgur.com/VQL4lPa.png")</f>
        <v/>
      </c>
      <c r="O14" s="41"/>
      <c r="P14" s="40" t="str">
        <f>image("https://i.imgur.com/lpOVjtL.png")</f>
        <v/>
      </c>
      <c r="Q14" s="41"/>
      <c r="R14" s="33"/>
    </row>
    <row r="15" ht="18.75" customHeight="1">
      <c r="A15" s="6"/>
      <c r="B15" s="8" t="s">
        <v>151</v>
      </c>
      <c r="C15" s="10" t="s">
        <v>154</v>
      </c>
      <c r="D15" s="8" t="s">
        <v>156</v>
      </c>
      <c r="E15" s="10" t="s">
        <v>160</v>
      </c>
      <c r="F15" s="8" t="s">
        <v>161</v>
      </c>
      <c r="G15" s="10" t="s">
        <v>162</v>
      </c>
      <c r="H15" s="8" t="s">
        <v>161</v>
      </c>
      <c r="I15" s="10" t="s">
        <v>164</v>
      </c>
      <c r="J15" s="8" t="s">
        <v>165</v>
      </c>
      <c r="K15" s="10" t="s">
        <v>166</v>
      </c>
      <c r="L15" s="8" t="s">
        <v>165</v>
      </c>
      <c r="M15" s="10" t="s">
        <v>167</v>
      </c>
      <c r="N15" s="8" t="s">
        <v>168</v>
      </c>
      <c r="O15" s="10" t="s">
        <v>170</v>
      </c>
      <c r="P15" s="8" t="s">
        <v>171</v>
      </c>
      <c r="Q15" s="10" t="s">
        <v>172</v>
      </c>
      <c r="R15" s="14"/>
    </row>
    <row r="16" ht="26.25" customHeight="1">
      <c r="A16" s="15"/>
      <c r="B16" s="16" t="str">
        <f>image("https://i.imgur.com/rJhTvoD.png")</f>
        <v/>
      </c>
      <c r="C16" s="20" t="str">
        <f>image("https://pokejungle.net/sprites/normal/"&amp;B15&amp;".png")</f>
        <v/>
      </c>
      <c r="D16" s="16" t="str">
        <f>image("https://i.imgur.com/rJhTvoD.png")</f>
        <v/>
      </c>
      <c r="E16" s="20" t="str">
        <f>image("https://pokejungle.net/sprites/normal/"&amp;D15&amp;".png")</f>
        <v/>
      </c>
      <c r="F16" s="16" t="str">
        <f>image("https://i.imgur.com/rAI9Gyi.png")</f>
        <v/>
      </c>
      <c r="G16" s="20" t="str">
        <f>image("https://pokejungle.net/sprites/normal/"&amp;F15&amp;".png")</f>
        <v/>
      </c>
      <c r="H16" s="24" t="str">
        <f>image("https://i.imgur.com/beHgI95.png")</f>
        <v/>
      </c>
      <c r="I16" s="20" t="str">
        <f>image("https://pokejungle.net/sprites/normal/"&amp;H15&amp;"-1.png")</f>
        <v/>
      </c>
      <c r="J16" s="16" t="str">
        <f>image("https://i.imgur.com/XIu6jDl.png")</f>
        <v/>
      </c>
      <c r="K16" s="20" t="str">
        <f>image("https://pokejungle.net/sprites/normal/"&amp;J15&amp;".png")</f>
        <v/>
      </c>
      <c r="L16" s="28" t="str">
        <f>image("https://i.imgur.com/beHgI95.png")</f>
        <v/>
      </c>
      <c r="M16" s="20" t="str">
        <f>image("https://pokejungle.net/sprites/normal/"&amp;L15&amp;"-1.png")</f>
        <v/>
      </c>
      <c r="N16" s="16" t="str">
        <f>image("https://i.imgur.com/XIu6jDl.png")</f>
        <v/>
      </c>
      <c r="O16" s="20" t="str">
        <f>image("https://pokejungle.net/sprites/normal/"&amp;N15&amp;".png")</f>
        <v/>
      </c>
      <c r="P16" s="16" t="str">
        <f>image("https://i.imgur.com/XIu6jDl.png")</f>
        <v/>
      </c>
      <c r="Q16" s="20" t="str">
        <f>image("https://pokejungle.net/sprites/normal/"&amp;P15&amp;".png")</f>
        <v/>
      </c>
      <c r="R16" s="33"/>
    </row>
    <row r="17" ht="26.25" customHeight="1">
      <c r="A17" s="15"/>
      <c r="B17" s="38" t="str">
        <f>image("https://i.imgur.com/lKAfx6k.png")</f>
        <v/>
      </c>
      <c r="C17" s="36"/>
      <c r="D17" s="38" t="str">
        <f>image("https://i.imgur.com/lKAfx6k.png")</f>
        <v/>
      </c>
      <c r="E17" s="36"/>
      <c r="F17" s="35" t="str">
        <f>image("https://i.imgur.com/XI18XGu.png")</f>
        <v/>
      </c>
      <c r="G17" s="36"/>
      <c r="H17" s="37" t="str">
        <f>image("https://i.imgur.com/EkqYYOB.png")</f>
        <v/>
      </c>
      <c r="I17" s="36"/>
      <c r="J17" s="38" t="str">
        <f>image("https://i.imgur.com/lpOVjtL.png")</f>
        <v/>
      </c>
      <c r="K17" s="36"/>
      <c r="L17" s="35" t="str">
        <f>image("https://i.imgur.com/EkqYYOB.png")</f>
        <v/>
      </c>
      <c r="M17" s="36"/>
      <c r="N17" s="38" t="str">
        <f>image("https://i.imgur.com/lpOVjtL.png")</f>
        <v/>
      </c>
      <c r="O17" s="36"/>
      <c r="P17" s="38" t="str">
        <f>image("https://i.imgur.com/lpOVjtL.png")</f>
        <v/>
      </c>
      <c r="Q17" s="36"/>
      <c r="R17" s="33"/>
    </row>
    <row r="18" ht="26.25" customHeight="1">
      <c r="A18" s="15"/>
      <c r="B18" s="43" t="str">
        <f>image("https://i.imgur.com/RqSOGo6.png")</f>
        <v/>
      </c>
      <c r="C18" s="41"/>
      <c r="D18" s="43" t="str">
        <f>image("https://i.imgur.com/RqSOGo6.png")</f>
        <v/>
      </c>
      <c r="E18" s="41"/>
      <c r="F18" s="40" t="str">
        <f>image("https://i.imgur.com/nNTmuH8.png")</f>
        <v/>
      </c>
      <c r="G18" s="41"/>
      <c r="H18" s="40" t="str">
        <f>image("https://i.imgur.com/JOd7Boe.png")</f>
        <v/>
      </c>
      <c r="I18" s="41"/>
      <c r="J18" s="40" t="str">
        <f>image("https://i.imgur.com/beHgI95.png")</f>
        <v/>
      </c>
      <c r="K18" s="41"/>
      <c r="L18" s="43" t="str">
        <f>image("https://i.imgur.com/JOd7Boe.png")</f>
        <v/>
      </c>
      <c r="M18" s="41"/>
      <c r="N18" s="40" t="str">
        <f>image("https://i.imgur.com/rJhTvoD.png")</f>
        <v/>
      </c>
      <c r="O18" s="41"/>
      <c r="P18" s="40" t="str">
        <f>image("https://i.imgur.com/rJhTvoD.png")</f>
        <v/>
      </c>
      <c r="Q18" s="41"/>
      <c r="R18" s="33"/>
    </row>
    <row r="19" ht="26.25" customHeight="1">
      <c r="A19" s="15"/>
      <c r="B19" s="16" t="str">
        <f>image("https://i.imgur.com/beHgI95.png")</f>
        <v/>
      </c>
      <c r="C19" s="20" t="str">
        <f>image("https://pokejungle.net/sprites/shiny/"&amp;B15&amp;".png")</f>
        <v/>
      </c>
      <c r="D19" s="16" t="str">
        <f>image("https://i.imgur.com/beHgI95.png")</f>
        <v/>
      </c>
      <c r="E19" s="20" t="str">
        <f>image("https://pokejungle.net/sprites/shiny/"&amp;D15&amp;".png")</f>
        <v/>
      </c>
      <c r="F19" s="16" t="str">
        <f>image("https://i.imgur.com/XIu6jDl.png")</f>
        <v/>
      </c>
      <c r="G19" s="20" t="str">
        <f>image("https://pokejungle.net/sprites/shiny/"&amp;F15&amp;"-f.png")</f>
        <v/>
      </c>
      <c r="H19" s="16" t="str">
        <f>image("https://i.imgur.com/bxys1sd.png")</f>
        <v/>
      </c>
      <c r="I19" s="20" t="str">
        <f>image("https://pokejungle.net/sprites/shiny/"&amp;H15&amp;"-1.png")</f>
        <v/>
      </c>
      <c r="J19" s="16" t="str">
        <f>image("https://i.imgur.com/bxys1sd.png")</f>
        <v/>
      </c>
      <c r="K19" s="20" t="str">
        <f>image("https://pokejungle.net/sprites/shiny/"&amp;J15&amp;"-f.png")</f>
        <v/>
      </c>
      <c r="L19" s="16" t="str">
        <f>image("https://i.imgur.com/bxys1sd.png")</f>
        <v/>
      </c>
      <c r="M19" s="20" t="str">
        <f>image("https://pokejungle.net/sprites/shiny/"&amp;L15&amp;"-1.png")</f>
        <v/>
      </c>
      <c r="N19" s="16" t="str">
        <f>image("https://i.imgur.com/XIu6jDl.png")</f>
        <v/>
      </c>
      <c r="O19" s="20" t="str">
        <f>image("https://pokejungle.net/sprites/shiny/"&amp;N15&amp;".png")</f>
        <v/>
      </c>
      <c r="P19" s="16" t="str">
        <f>image("https://i.imgur.com/XIu6jDl.png")</f>
        <v/>
      </c>
      <c r="Q19" s="20" t="str">
        <f>image("https://pokejungle.net/sprites/shiny/"&amp;P15&amp;".png")</f>
        <v/>
      </c>
      <c r="R19" s="33"/>
    </row>
    <row r="20" ht="26.25" customHeight="1">
      <c r="A20" s="15"/>
      <c r="B20" s="38" t="str">
        <f>image("https://i.imgur.com/EkqYYOB.png")</f>
        <v/>
      </c>
      <c r="C20" s="36"/>
      <c r="D20" s="46" t="str">
        <f>image("https://i.imgur.com/EkqYYOB.png")</f>
        <v/>
      </c>
      <c r="E20" s="36"/>
      <c r="F20" s="35" t="str">
        <f>image("https://i.imgur.com/lpOVjtL.png")</f>
        <v/>
      </c>
      <c r="G20" s="36"/>
      <c r="H20" s="46" t="str">
        <f>image("https://i.imgur.com/JOd7Boe.png")</f>
        <v/>
      </c>
      <c r="I20" s="36"/>
      <c r="J20" s="38" t="str">
        <f>image("https://i.imgur.com/lKAfx6k.png")</f>
        <v/>
      </c>
      <c r="K20" s="36"/>
      <c r="L20" s="46" t="str">
        <f>image("https://i.imgur.com/JOd7Boe.png")</f>
        <v/>
      </c>
      <c r="M20" s="36"/>
      <c r="N20" s="46" t="str">
        <f>image("https://i.imgur.com/rJhTvoD.png")</f>
        <v/>
      </c>
      <c r="O20" s="36"/>
      <c r="P20" s="38" t="str">
        <f>image("https://i.imgur.com/lpOVjtL.png")</f>
        <v/>
      </c>
      <c r="Q20" s="36"/>
      <c r="R20" s="33"/>
    </row>
    <row r="21" ht="26.25" customHeight="1">
      <c r="A21" s="15"/>
      <c r="B21" s="40"/>
      <c r="C21" s="41"/>
      <c r="D21" s="43"/>
      <c r="E21" s="41"/>
      <c r="F21" s="40"/>
      <c r="G21" s="41"/>
      <c r="H21" s="43"/>
      <c r="I21" s="41"/>
      <c r="J21" s="40" t="str">
        <f>image("https://i.imgur.com/0ArMZjJ.png")</f>
        <v/>
      </c>
      <c r="K21" s="41"/>
      <c r="L21" s="43"/>
      <c r="M21" s="41"/>
      <c r="N21" s="40"/>
      <c r="O21" s="41"/>
      <c r="P21" s="40" t="str">
        <f>image("https://i.imgur.com/rJhTvoD.png")</f>
        <v/>
      </c>
      <c r="Q21" s="41"/>
      <c r="R21" s="33"/>
    </row>
    <row r="22" ht="18.75" customHeight="1">
      <c r="A22" s="6"/>
      <c r="B22" s="8" t="s">
        <v>195</v>
      </c>
      <c r="C22" s="10" t="s">
        <v>196</v>
      </c>
      <c r="D22" s="8" t="s">
        <v>197</v>
      </c>
      <c r="E22" s="10" t="s">
        <v>198</v>
      </c>
      <c r="F22" s="8" t="s">
        <v>199</v>
      </c>
      <c r="G22" s="10" t="s">
        <v>201</v>
      </c>
      <c r="H22" s="8" t="s">
        <v>203</v>
      </c>
      <c r="I22" s="10" t="s">
        <v>204</v>
      </c>
      <c r="J22" s="8" t="s">
        <v>203</v>
      </c>
      <c r="K22" s="10" t="s">
        <v>207</v>
      </c>
      <c r="L22" s="8" t="s">
        <v>209</v>
      </c>
      <c r="M22" s="10" t="s">
        <v>212</v>
      </c>
      <c r="N22" s="8" t="s">
        <v>209</v>
      </c>
      <c r="O22" s="10" t="s">
        <v>214</v>
      </c>
      <c r="P22" s="8" t="s">
        <v>216</v>
      </c>
      <c r="Q22" s="10" t="s">
        <v>218</v>
      </c>
      <c r="R22" s="14"/>
    </row>
    <row r="23" ht="26.25" customHeight="1">
      <c r="A23" s="15"/>
      <c r="B23" s="16" t="str">
        <f>image("https://i.imgur.com/rAI9Gyi.png")</f>
        <v/>
      </c>
      <c r="C23" s="20" t="str">
        <f>image("https://pokejungle.net/sprites/normal/"&amp;B22&amp;".png")</f>
        <v/>
      </c>
      <c r="D23" s="16" t="str">
        <f>image("https://i.imgur.com/rAI9Gyi.png")</f>
        <v/>
      </c>
      <c r="E23" s="20" t="str">
        <f>image("https://pokejungle.net/sprites/normal/"&amp;D22&amp;".png")</f>
        <v/>
      </c>
      <c r="F23" s="16" t="str">
        <f>image("https://i.imgur.com/rJhTvoD.png")</f>
        <v/>
      </c>
      <c r="G23" s="20" t="str">
        <f>image("https://pokejungle.net/sprites/normal/"&amp;F22&amp;"-f.png")</f>
        <v/>
      </c>
      <c r="H23" s="24" t="str">
        <f>image("https://i.imgur.com/rJhTvoD.png")</f>
        <v/>
      </c>
      <c r="I23" s="20" t="str">
        <f>image("https://pokejungle.net/sprites/normal/"&amp;H22&amp;"-f.png")</f>
        <v/>
      </c>
      <c r="J23" s="16" t="str">
        <f>image("https://i.imgur.com/zpybKax.png")</f>
        <v/>
      </c>
      <c r="K23" s="20" t="str">
        <f>image("https://pokejungle.net/sprites/normal/"&amp;J22&amp;"-1.png")</f>
        <v/>
      </c>
      <c r="L23" s="28" t="str">
        <f>image("https://i.imgur.com/beHgI95.png")</f>
        <v/>
      </c>
      <c r="M23" s="20" t="str">
        <f>image("https://pokejungle.net/sprites/normal/"&amp;L22&amp;".png")</f>
        <v/>
      </c>
      <c r="N23" s="16" t="str">
        <f>image("https://i.imgur.com/XNzvO0H.png")</f>
        <v/>
      </c>
      <c r="O23" s="20" t="str">
        <f>image("https://pokejungle.net/sprites/normal/"&amp;N22&amp;"-1.png")</f>
        <v/>
      </c>
      <c r="P23" s="16" t="str">
        <f>image("https://i.imgur.com/beHgI95.png")</f>
        <v/>
      </c>
      <c r="Q23" s="20" t="str">
        <f>image("https://pokejungle.net/sprites/normal/"&amp;P22&amp;".png")</f>
        <v/>
      </c>
      <c r="R23" s="33"/>
    </row>
    <row r="24" ht="26.25" customHeight="1">
      <c r="A24" s="15"/>
      <c r="B24" s="38" t="str">
        <f>image("https://i.imgur.com/nNTmuH8.png")</f>
        <v/>
      </c>
      <c r="C24" s="36"/>
      <c r="D24" s="35" t="str">
        <f>image("https://i.imgur.com/nNTmuH8.png")</f>
        <v/>
      </c>
      <c r="E24" s="36"/>
      <c r="F24" s="35" t="str">
        <f>image("https://i.imgur.com/beHgI95.png")</f>
        <v/>
      </c>
      <c r="G24" s="36"/>
      <c r="H24" s="37" t="str">
        <f>image("https://i.imgur.com/beHgI95.png")</f>
        <v/>
      </c>
      <c r="I24" s="36"/>
      <c r="J24" s="38" t="str">
        <f>image("https://i.imgur.com/beHgI95.png")</f>
        <v/>
      </c>
      <c r="K24" s="36"/>
      <c r="L24" s="35"/>
      <c r="M24" s="36"/>
      <c r="N24" s="38" t="str">
        <f>image("https://i.imgur.com/0ArMZjJ.png")</f>
        <v/>
      </c>
      <c r="O24" s="36"/>
      <c r="P24" s="38" t="str">
        <f>image("https://i.imgur.com/EkqYYOB.png")</f>
        <v/>
      </c>
      <c r="Q24" s="36"/>
      <c r="R24" s="33"/>
    </row>
    <row r="25" ht="26.25" customHeight="1">
      <c r="A25" s="15"/>
      <c r="B25" s="40" t="str">
        <f>image("https://i.imgur.com/XI18XGu.png")</f>
        <v/>
      </c>
      <c r="C25" s="41"/>
      <c r="D25" s="40" t="str">
        <f>image("https://i.imgur.com/XI18XGu.png")</f>
        <v/>
      </c>
      <c r="E25" s="41"/>
      <c r="F25" s="40" t="str">
        <f>image("https://i.imgur.com/lKAfx6k.png")</f>
        <v/>
      </c>
      <c r="G25" s="41"/>
      <c r="H25" s="40" t="str">
        <f t="shared" ref="H25:H26" si="1">image("https://i.imgur.com/lKAfx6k.png")</f>
        <v/>
      </c>
      <c r="I25" s="41"/>
      <c r="J25" s="40"/>
      <c r="K25" s="41"/>
      <c r="L25" s="43"/>
      <c r="M25" s="41"/>
      <c r="N25" s="40"/>
      <c r="O25" s="41"/>
      <c r="P25" s="40" t="str">
        <f>image("https://i.imgur.com/XIu6jDl.png")</f>
        <v/>
      </c>
      <c r="Q25" s="41"/>
      <c r="R25" s="33"/>
    </row>
    <row r="26" ht="26.25" customHeight="1">
      <c r="A26" s="15"/>
      <c r="B26" s="16" t="str">
        <f>image("https://i.imgur.com/XIu6jDl.png")</f>
        <v/>
      </c>
      <c r="C26" s="20" t="str">
        <f>image("https://pokejungle.net/sprites/shiny/"&amp;B22&amp;".png")</f>
        <v/>
      </c>
      <c r="D26" s="16" t="str">
        <f>image("https://i.imgur.com/beHgI95.png")</f>
        <v/>
      </c>
      <c r="E26" s="20" t="str">
        <f>image("https://pokejungle.net/sprites/shiny/"&amp;D22&amp;".png")</f>
        <v/>
      </c>
      <c r="F26" s="16" t="str">
        <f>image("https://i.imgur.com/rJhTvoD.png")</f>
        <v/>
      </c>
      <c r="G26" s="20" t="str">
        <f>image("https://pokejungle.net/sprites/shiny/"&amp;F22&amp;".png")</f>
        <v/>
      </c>
      <c r="H26" s="16" t="str">
        <f t="shared" si="1"/>
        <v/>
      </c>
      <c r="I26" s="20" t="str">
        <f>image("https://pokejungle.net/sprites/shiny/"&amp;H22&amp;".png")</f>
        <v/>
      </c>
      <c r="J26" s="16" t="str">
        <f>image("https://i.imgur.com/EkqYYOB.png")</f>
        <v/>
      </c>
      <c r="K26" s="20" t="str">
        <f>image("https://pokejungle.net/sprites/shiny/"&amp;J22&amp;"-1.png")</f>
        <v/>
      </c>
      <c r="L26" s="16" t="str">
        <f>image("https://i.imgur.com/XIu6jDl.png")</f>
        <v/>
      </c>
      <c r="M26" s="20" t="str">
        <f>image("https://pokejungle.net/sprites/shiny/"&amp;L22&amp;".png")</f>
        <v/>
      </c>
      <c r="N26" s="16" t="str">
        <f>image("https://i.imgur.com/XNzvO0H.png")</f>
        <v/>
      </c>
      <c r="O26" s="20" t="str">
        <f>image("https://pokejungle.net/sprites/shiny/"&amp;N22&amp;"-1.png")</f>
        <v/>
      </c>
      <c r="P26" s="16" t="str">
        <f>image("https://i.imgur.com/rJhTvoD.png")</f>
        <v/>
      </c>
      <c r="Q26" s="20" t="str">
        <f>image("https://pokejungle.net/sprites/shiny/"&amp;P22&amp;".png")</f>
        <v/>
      </c>
      <c r="R26" s="33"/>
    </row>
    <row r="27" ht="26.25" customHeight="1">
      <c r="A27" s="15"/>
      <c r="B27" s="38" t="str">
        <f>image("https://i.imgur.com/lpOVjtL.png")</f>
        <v/>
      </c>
      <c r="C27" s="36"/>
      <c r="D27" s="46" t="str">
        <f>image("https://i.imgur.com/rJhTvoD.png")</f>
        <v/>
      </c>
      <c r="E27" s="36"/>
      <c r="F27" s="35" t="str">
        <f>image("https://i.imgur.com/beHgI95.png")</f>
        <v/>
      </c>
      <c r="G27" s="36"/>
      <c r="H27" s="46" t="str">
        <f>image("https://i.imgur.com/rJhTvoD.png")</f>
        <v/>
      </c>
      <c r="I27" s="36"/>
      <c r="J27" s="38" t="str">
        <f>image("https://i.imgur.com/beHgI95.png")</f>
        <v/>
      </c>
      <c r="K27" s="36"/>
      <c r="L27" s="46" t="str">
        <f>image("https://i.imgur.com/VQL4lPa.png")</f>
        <v/>
      </c>
      <c r="M27" s="36"/>
      <c r="N27" s="38"/>
      <c r="O27" s="36"/>
      <c r="P27" s="38" t="str">
        <f>image("https://i.imgur.com/EkqYYOB.png")</f>
        <v/>
      </c>
      <c r="Q27" s="36"/>
      <c r="R27" s="33"/>
    </row>
    <row r="28" ht="26.25" customHeight="1">
      <c r="A28" s="15"/>
      <c r="B28" s="40"/>
      <c r="C28" s="41"/>
      <c r="D28" s="43" t="str">
        <f>image("https://i.imgur.com/EkqYYOB.png")</f>
        <v/>
      </c>
      <c r="E28" s="41"/>
      <c r="F28" s="40" t="str">
        <f>image("https://i.imgur.com/lKAfx6k.png")</f>
        <v/>
      </c>
      <c r="G28" s="41"/>
      <c r="H28" s="43" t="str">
        <f>image("https://i.imgur.com/RqSOGo6.png")</f>
        <v/>
      </c>
      <c r="I28" s="41"/>
      <c r="J28" s="40" t="str">
        <f>image("https://i.imgur.com/rJhTvoD.png")</f>
        <v/>
      </c>
      <c r="K28" s="41"/>
      <c r="L28" s="43"/>
      <c r="M28" s="41"/>
      <c r="N28" s="40"/>
      <c r="O28" s="41"/>
      <c r="P28" s="40"/>
      <c r="Q28" s="41"/>
      <c r="R28" s="33"/>
    </row>
    <row r="29" ht="18.75" customHeight="1">
      <c r="A29" s="6"/>
      <c r="B29" s="8" t="s">
        <v>216</v>
      </c>
      <c r="C29" s="10" t="s">
        <v>257</v>
      </c>
      <c r="D29" s="8" t="s">
        <v>52</v>
      </c>
      <c r="E29" s="10" t="s">
        <v>53</v>
      </c>
      <c r="F29" s="8" t="s">
        <v>258</v>
      </c>
      <c r="G29" s="10" t="s">
        <v>259</v>
      </c>
      <c r="H29" s="8" t="s">
        <v>260</v>
      </c>
      <c r="I29" s="10" t="s">
        <v>261</v>
      </c>
      <c r="J29" s="8" t="s">
        <v>262</v>
      </c>
      <c r="K29" s="10" t="s">
        <v>263</v>
      </c>
      <c r="L29" s="8" t="s">
        <v>264</v>
      </c>
      <c r="M29" s="10" t="s">
        <v>265</v>
      </c>
      <c r="N29" s="8" t="s">
        <v>266</v>
      </c>
      <c r="O29" s="10" t="s">
        <v>267</v>
      </c>
      <c r="P29" s="8" t="s">
        <v>268</v>
      </c>
      <c r="Q29" s="10" t="s">
        <v>269</v>
      </c>
      <c r="R29" s="14"/>
    </row>
    <row r="30" ht="26.25" customHeight="1">
      <c r="A30" s="15"/>
      <c r="B30" s="16" t="str">
        <f>image("https://i.imgur.com/XNzvO0H.png")</f>
        <v/>
      </c>
      <c r="C30" s="20" t="str">
        <f>image("https://pokejungle.net/sprites/normal/"&amp;B29&amp;"-1.png")</f>
        <v/>
      </c>
      <c r="D30" s="16" t="str">
        <f>image("https://i.imgur.com/XNzvO0H.png")</f>
        <v/>
      </c>
      <c r="E30" s="20" t="str">
        <f>image("https://pokejungle.net/sprites/normal/"&amp;D29&amp;".png")</f>
        <v/>
      </c>
      <c r="F30" s="16" t="str">
        <f>image("https://i.imgur.com/XNzvO0H.png")</f>
        <v/>
      </c>
      <c r="G30" s="20" t="str">
        <f>image("https://pokejungle.net/sprites/normal/"&amp;F29&amp;".png")</f>
        <v/>
      </c>
      <c r="H30" s="24" t="str">
        <f>image("https://i.imgur.com/zpybKax.png")</f>
        <v/>
      </c>
      <c r="I30" s="20" t="str">
        <f>image("https://pokejungle.net/sprites/normal/"&amp;H29&amp;".png")</f>
        <v/>
      </c>
      <c r="J30" s="16" t="str">
        <f>image("https://i.imgur.com/XI18XGu.png")</f>
        <v/>
      </c>
      <c r="K30" s="20" t="str">
        <f>image("https://pokejungle.net/sprites/normal/"&amp;J29&amp;".png")</f>
        <v/>
      </c>
      <c r="L30" s="28" t="str">
        <f>image("https://i.imgur.com/XI18XGu.png")</f>
        <v/>
      </c>
      <c r="M30" s="20" t="str">
        <f>image("https://pokejungle.net/sprites/normal/"&amp;L29&amp;".png")</f>
        <v/>
      </c>
      <c r="N30" s="16" t="str">
        <f>image("https://i.imgur.com/XI18XGu.png")</f>
        <v/>
      </c>
      <c r="O30" s="20" t="str">
        <f>image("https://pokejungle.net/sprites/normal/"&amp;N29&amp;".png")</f>
        <v/>
      </c>
      <c r="P30" s="16" t="str">
        <f>image("https://i.imgur.com/a9HBljD.png")</f>
        <v/>
      </c>
      <c r="Q30" s="20" t="str">
        <f>image("https://pokejungle.net/sprites/normal/"&amp;P29&amp;".png")</f>
        <v/>
      </c>
      <c r="R30" s="33"/>
    </row>
    <row r="31" ht="26.25" customHeight="1">
      <c r="A31" s="15"/>
      <c r="B31" s="38"/>
      <c r="C31" s="36"/>
      <c r="D31" s="35" t="str">
        <f>image("https://i.imgur.com/SF5CZ6U.png")</f>
        <v/>
      </c>
      <c r="E31" s="36"/>
      <c r="F31" s="35" t="str">
        <f>image("https://i.imgur.com/SF5CZ6U.png")</f>
        <v/>
      </c>
      <c r="G31" s="36"/>
      <c r="H31" s="37" t="str">
        <f>image("https://i.imgur.com/SF5CZ6U.png")</f>
        <v/>
      </c>
      <c r="I31" s="36"/>
      <c r="J31" s="38" t="str">
        <f>image("https://i.imgur.com/rAI9Gyi.png")</f>
        <v/>
      </c>
      <c r="K31" s="36"/>
      <c r="L31" s="35" t="str">
        <f>image("https://i.imgur.com/rAI9Gyi.png")</f>
        <v/>
      </c>
      <c r="M31" s="36"/>
      <c r="N31" s="38" t="str">
        <f>image("https://i.imgur.com/rAI9Gyi.png")</f>
        <v/>
      </c>
      <c r="O31" s="36"/>
      <c r="P31" s="38" t="str">
        <f>image("https://i.imgur.com/rAI9Gyi.png")</f>
        <v/>
      </c>
      <c r="Q31" s="36"/>
      <c r="R31" s="33"/>
    </row>
    <row r="32" ht="26.25" customHeight="1">
      <c r="A32" s="15"/>
      <c r="B32" s="40"/>
      <c r="C32" s="41"/>
      <c r="D32" s="40"/>
      <c r="E32" s="41"/>
      <c r="F32" s="40"/>
      <c r="G32" s="41"/>
      <c r="H32" s="40" t="str">
        <f>image("https://i.imgur.com/JDgAgAO.png")</f>
        <v/>
      </c>
      <c r="I32" s="41"/>
      <c r="J32" s="40" t="str">
        <f>image("https://i.imgur.com/nNTmuH8.png")</f>
        <v/>
      </c>
      <c r="K32" s="41"/>
      <c r="L32" s="43" t="str">
        <f>image("https://i.imgur.com/nNTmuH8.png")</f>
        <v/>
      </c>
      <c r="M32" s="41"/>
      <c r="N32" s="40" t="str">
        <f>image("https://i.imgur.com/nNTmuH8.png")</f>
        <v/>
      </c>
      <c r="O32" s="41"/>
      <c r="P32" s="40" t="str">
        <f>image("https://i.imgur.com/JDgAgAO.png")</f>
        <v/>
      </c>
      <c r="Q32" s="41"/>
      <c r="R32" s="33"/>
    </row>
    <row r="33" ht="26.25" customHeight="1">
      <c r="A33" s="15"/>
      <c r="B33" s="16" t="str">
        <f>image("https://i.imgur.com/XNzvO0H.png")</f>
        <v/>
      </c>
      <c r="C33" s="20" t="str">
        <f>image("https://pokejungle.net/sprites/shiny/"&amp;B29&amp;"-1.png")</f>
        <v/>
      </c>
      <c r="D33" s="16" t="str">
        <f>image("https://i.imgur.com/rAI9Gyi.png")</f>
        <v/>
      </c>
      <c r="E33" s="20" t="str">
        <f>image("https://pokejungle.net/sprites/shiny/"&amp;D29&amp;".png")</f>
        <v/>
      </c>
      <c r="F33" s="16" t="str">
        <f>image("https://i.imgur.com/rAI9Gyi.png")</f>
        <v/>
      </c>
      <c r="G33" s="20" t="str">
        <f>image("https://pokejungle.net/sprites/shiny/"&amp;F29&amp;".png")</f>
        <v/>
      </c>
      <c r="H33" s="16" t="str">
        <f>image("https://i.imgur.com/rAI9Gyi.png")</f>
        <v/>
      </c>
      <c r="I33" s="20" t="str">
        <f>image("https://pokejungle.net/sprites/shiny/"&amp;H29&amp;".png")</f>
        <v/>
      </c>
      <c r="J33" s="16" t="str">
        <f>image("https://i.imgur.com/SF5CZ6U.png")</f>
        <v/>
      </c>
      <c r="K33" s="20" t="str">
        <f>image("https://pokejungle.net/sprites/shiny/"&amp;J29&amp;".png")</f>
        <v/>
      </c>
      <c r="L33" s="16" t="str">
        <f>image("https://i.imgur.com/SF5CZ6U.png")</f>
        <v/>
      </c>
      <c r="M33" s="20" t="str">
        <f>image("https://pokejungle.net/sprites/shiny/"&amp;L29&amp;".png")</f>
        <v/>
      </c>
      <c r="N33" s="16" t="str">
        <f>image("https://i.imgur.com/SF5CZ6U.png")</f>
        <v/>
      </c>
      <c r="O33" s="20" t="str">
        <f>image("https://pokejungle.net/sprites/shiny/"&amp;N29&amp;".png")</f>
        <v/>
      </c>
      <c r="P33" s="16" t="str">
        <f>image("https://i.imgur.com/a9HBljD.png")</f>
        <v/>
      </c>
      <c r="Q33" s="20" t="str">
        <f>image("https://pokejungle.net/sprites/shiny/"&amp;P29&amp;".png")</f>
        <v/>
      </c>
      <c r="R33" s="33"/>
    </row>
    <row r="34" ht="26.25" customHeight="1">
      <c r="A34" s="15"/>
      <c r="B34" s="38"/>
      <c r="C34" s="36"/>
      <c r="D34" s="46" t="str">
        <f>image("https://i.imgur.com/XI18XGu.png")</f>
        <v/>
      </c>
      <c r="E34" s="36"/>
      <c r="F34" s="35" t="str">
        <f>image("https://i.imgur.com/XI18XGu.png")</f>
        <v/>
      </c>
      <c r="G34" s="36"/>
      <c r="H34" s="46" t="str">
        <f>image("https://i.imgur.com/XIu6jDl.png")</f>
        <v/>
      </c>
      <c r="I34" s="36"/>
      <c r="J34" s="38" t="str">
        <f>image("https://i.imgur.com/XNzvO0H.png")</f>
        <v/>
      </c>
      <c r="K34" s="36"/>
      <c r="L34" s="46" t="str">
        <f>image("https://i.imgur.com/XNzvO0H.png")</f>
        <v/>
      </c>
      <c r="M34" s="36"/>
      <c r="N34" s="38" t="str">
        <f>image("https://i.imgur.com/XNzvO0H.png")</f>
        <v/>
      </c>
      <c r="O34" s="36"/>
      <c r="P34" s="38" t="str">
        <f>image("https://i.imgur.com/rAI9Gyi.png")</f>
        <v/>
      </c>
      <c r="Q34" s="36"/>
      <c r="R34" s="33"/>
    </row>
    <row r="35" ht="26.25" customHeight="1">
      <c r="A35" s="15"/>
      <c r="B35" s="40"/>
      <c r="C35" s="41"/>
      <c r="D35" s="43" t="str">
        <f>image("https://i.imgur.com/a9HBljD.png")</f>
        <v/>
      </c>
      <c r="E35" s="41"/>
      <c r="F35" s="40" t="str">
        <f>image("https://i.imgur.com/a9HBljD.png")</f>
        <v/>
      </c>
      <c r="G35" s="41"/>
      <c r="H35" s="43"/>
      <c r="I35" s="41"/>
      <c r="J35" s="40"/>
      <c r="K35" s="41"/>
      <c r="L35" s="43"/>
      <c r="M35" s="41"/>
      <c r="N35" s="40" t="str">
        <f>image("https://i.imgur.com/JDgAgAO.png")</f>
        <v/>
      </c>
      <c r="O35" s="41"/>
      <c r="P35" s="40" t="str">
        <f>image("https://i.imgur.com/JDgAgAO.png")</f>
        <v/>
      </c>
      <c r="Q35" s="41"/>
      <c r="R35" s="33"/>
    </row>
    <row r="36" ht="18.75" customHeight="1">
      <c r="A36" s="6"/>
      <c r="B36" s="8" t="s">
        <v>318</v>
      </c>
      <c r="C36" s="10" t="s">
        <v>319</v>
      </c>
      <c r="D36" s="8" t="s">
        <v>320</v>
      </c>
      <c r="E36" s="10" t="s">
        <v>321</v>
      </c>
      <c r="F36" s="8" t="s">
        <v>320</v>
      </c>
      <c r="G36" s="10" t="s">
        <v>322</v>
      </c>
      <c r="H36" s="8" t="s">
        <v>323</v>
      </c>
      <c r="I36" s="10" t="s">
        <v>324</v>
      </c>
      <c r="J36" s="8" t="s">
        <v>323</v>
      </c>
      <c r="K36" s="10" t="s">
        <v>325</v>
      </c>
      <c r="L36" s="8" t="s">
        <v>326</v>
      </c>
      <c r="M36" s="10" t="s">
        <v>327</v>
      </c>
      <c r="N36" s="8" t="s">
        <v>328</v>
      </c>
      <c r="O36" s="10" t="s">
        <v>329</v>
      </c>
      <c r="P36" s="8" t="s">
        <v>330</v>
      </c>
      <c r="Q36" s="10" t="s">
        <v>331</v>
      </c>
      <c r="R36" s="14"/>
    </row>
    <row r="37" ht="26.25" customHeight="1">
      <c r="A37" s="15"/>
      <c r="B37" s="16" t="str">
        <f>image("https://i.imgur.com/a9HBljD.png")</f>
        <v/>
      </c>
      <c r="C37" s="20" t="str">
        <f>image("https://pokejungle.net/sprites/normal/"&amp;B36&amp;".png")</f>
        <v/>
      </c>
      <c r="D37" s="16" t="str">
        <f>image("https://i.imgur.com/RqSOGo6.png")</f>
        <v/>
      </c>
      <c r="E37" s="20" t="str">
        <f>image("https://pokejungle.net/sprites/normal/"&amp;D36&amp;".png")</f>
        <v/>
      </c>
      <c r="F37" s="16" t="str">
        <f>image("https://i.imgur.com/XNzvO0H.png")</f>
        <v/>
      </c>
      <c r="G37" s="20" t="str">
        <f>image("https://pokejungle.net/sprites/normal/"&amp;F36&amp;"-1.png")</f>
        <v/>
      </c>
      <c r="H37" s="24" t="str">
        <f>image("https://i.imgur.com/beHgI95.png")</f>
        <v/>
      </c>
      <c r="I37" s="20" t="str">
        <f>image("https://pokejungle.net/sprites/normal/"&amp;H36&amp;".png")</f>
        <v/>
      </c>
      <c r="J37" s="16" t="str">
        <f>image("https://i.imgur.com/XNzvO0H.png")</f>
        <v/>
      </c>
      <c r="K37" s="20" t="str">
        <f>image("https://pokejungle.net/sprites/normal/"&amp;J36&amp;"-1.png")</f>
        <v/>
      </c>
      <c r="L37" s="16" t="str">
        <f>image("https://i.imgur.com/XI18XGu.png")</f>
        <v/>
      </c>
      <c r="M37" s="20" t="str">
        <f>image("https://pokejungle.net/sprites/normal/"&amp;L36&amp;".png")</f>
        <v/>
      </c>
      <c r="N37" s="16" t="str">
        <f>image("https://i.imgur.com/XI18XGu.png")</f>
        <v/>
      </c>
      <c r="O37" s="20" t="str">
        <f>image("https://pokejungle.net/sprites/normal/"&amp;N36&amp;".png")</f>
        <v/>
      </c>
      <c r="P37" s="16" t="str">
        <f>image("https://i.imgur.com/SF5CZ6U.png")</f>
        <v/>
      </c>
      <c r="Q37" s="20" t="str">
        <f>image("https://pokejungle.net/sprites/normal/"&amp;P36&amp;".png")</f>
        <v/>
      </c>
      <c r="R37" s="33"/>
    </row>
    <row r="38" ht="26.25" customHeight="1">
      <c r="A38" s="15"/>
      <c r="B38" s="38" t="str">
        <f>image("https://i.imgur.com/rAI9Gyi.png")</f>
        <v/>
      </c>
      <c r="C38" s="36"/>
      <c r="D38" s="35"/>
      <c r="E38" s="36"/>
      <c r="F38" s="35" t="str">
        <f>image("https://i.imgur.com/0ArMZjJ.png")</f>
        <v/>
      </c>
      <c r="G38" s="36"/>
      <c r="H38" s="37" t="str">
        <f>image("https://i.imgur.com/rJhTvoD.png")</f>
        <v/>
      </c>
      <c r="I38" s="36"/>
      <c r="J38" s="38" t="str">
        <f>image("https://i.imgur.com/0ArMZjJ.png")</f>
        <v/>
      </c>
      <c r="K38" s="36"/>
      <c r="L38" s="38" t="str">
        <f>image("https://i.imgur.com/rAI9Gyi.png")</f>
        <v/>
      </c>
      <c r="M38" s="36"/>
      <c r="N38" s="38" t="str">
        <f>image("https://i.imgur.com/rAI9Gyi.png")</f>
        <v/>
      </c>
      <c r="O38" s="36"/>
      <c r="P38" s="38" t="str">
        <f>image("https://i.imgur.com/JDgAgAO.png")</f>
        <v/>
      </c>
      <c r="Q38" s="36"/>
      <c r="R38" s="33"/>
    </row>
    <row r="39" ht="26.25" customHeight="1">
      <c r="A39" s="15"/>
      <c r="B39" s="40" t="str">
        <f>image("https://i.imgur.com/JDgAgAO.png")</f>
        <v/>
      </c>
      <c r="C39" s="41"/>
      <c r="D39" s="40"/>
      <c r="E39" s="41"/>
      <c r="F39" s="40"/>
      <c r="G39" s="41"/>
      <c r="H39" s="40"/>
      <c r="I39" s="41"/>
      <c r="J39" s="40"/>
      <c r="K39" s="41"/>
      <c r="L39" s="43" t="str">
        <f>image("https://i.imgur.com/JDgAgAO.png")</f>
        <v/>
      </c>
      <c r="M39" s="41"/>
      <c r="N39" s="40" t="str">
        <f>image("https://i.imgur.com/JDgAgAO.png")</f>
        <v/>
      </c>
      <c r="O39" s="41"/>
      <c r="P39" s="40"/>
      <c r="Q39" s="41"/>
      <c r="R39" s="33"/>
    </row>
    <row r="40" ht="26.25" customHeight="1">
      <c r="A40" s="15"/>
      <c r="B40" s="16" t="str">
        <f>image("https://i.imgur.com/a9HBljD.png")</f>
        <v/>
      </c>
      <c r="C40" s="20" t="str">
        <f>image("https://pokejungle.net/sprites/shiny/"&amp;B36&amp;".png")</f>
        <v/>
      </c>
      <c r="D40" s="16" t="str">
        <f>image("https://i.imgur.com/beHgI95.png")</f>
        <v/>
      </c>
      <c r="E40" s="20" t="str">
        <f>image("https://pokejungle.net/sprites/shiny/"&amp;D36&amp;".png")</f>
        <v/>
      </c>
      <c r="F40" s="16" t="str">
        <f>image("https://i.imgur.com/0ArMZjJ.png")</f>
        <v/>
      </c>
      <c r="G40" s="20" t="str">
        <f>image("https://pokejungle.net/sprites/shiny/"&amp;F36&amp;"-1.png")</f>
        <v/>
      </c>
      <c r="H40" s="16" t="str">
        <f>image("https://i.imgur.com/0ArMZjJ.png")</f>
        <v/>
      </c>
      <c r="I40" s="20" t="str">
        <f>image("https://pokejungle.net/sprites/shiny/"&amp;H36&amp;".png")</f>
        <v/>
      </c>
      <c r="J40" s="16" t="str">
        <f>image("https://i.imgur.com/0ArMZjJ.png")</f>
        <v/>
      </c>
      <c r="K40" s="20" t="str">
        <f>image("https://pokejungle.net/sprites/shiny/"&amp;J36&amp;"-1.png")</f>
        <v/>
      </c>
      <c r="L40" s="16" t="str">
        <f>image("https://i.imgur.com/XI18XGu.png")</f>
        <v/>
      </c>
      <c r="M40" s="20" t="str">
        <f>image("https://pokejungle.net/sprites/shiny/"&amp;L36&amp;".png")</f>
        <v/>
      </c>
      <c r="N40" s="16" t="str">
        <f>image("https://i.imgur.com/XI18XGu.png")</f>
        <v/>
      </c>
      <c r="O40" s="20" t="str">
        <f>image("https://pokejungle.net/sprites/shiny/"&amp;N36&amp;".png")</f>
        <v/>
      </c>
      <c r="P40" s="16" t="str">
        <f>image("https://i.imgur.com/N2Wqr43.png")</f>
        <v/>
      </c>
      <c r="Q40" s="20" t="str">
        <f>image("https://pokejungle.net/sprites/shiny/"&amp;P36&amp;"-f.png")</f>
        <v/>
      </c>
      <c r="R40" s="33"/>
    </row>
    <row r="41" ht="26.25" customHeight="1">
      <c r="A41" s="15"/>
      <c r="B41" s="38" t="str">
        <f>image("https://i.imgur.com/rAI9Gyi.png")</f>
        <v/>
      </c>
      <c r="C41" s="36"/>
      <c r="D41" s="46" t="str">
        <f>image("https://i.imgur.com/rJhTvoD.png")</f>
        <v/>
      </c>
      <c r="E41" s="36"/>
      <c r="F41" s="35" t="str">
        <f>image("https://i.imgur.com/XNzvO0H.png")</f>
        <v/>
      </c>
      <c r="G41" s="36"/>
      <c r="H41" s="46" t="str">
        <f>image("https://i.imgur.com/NkILW1J.png")</f>
        <v/>
      </c>
      <c r="I41" s="36"/>
      <c r="J41" s="38" t="str">
        <f>image("https://i.imgur.com/XNzvO0H.png")</f>
        <v/>
      </c>
      <c r="K41" s="36"/>
      <c r="L41" s="38" t="str">
        <f>image("https://i.imgur.com/rAI9Gyi.png")</f>
        <v/>
      </c>
      <c r="M41" s="36"/>
      <c r="N41" s="38" t="str">
        <f>image("https://i.imgur.com/rAI9Gyi.png")</f>
        <v/>
      </c>
      <c r="O41" s="36"/>
      <c r="P41" s="38" t="str">
        <f>image("https://i.imgur.com/XIu6jDl.png")</f>
        <v/>
      </c>
      <c r="Q41" s="36"/>
      <c r="R41" s="33"/>
    </row>
    <row r="42" ht="26.25" customHeight="1">
      <c r="A42" s="15"/>
      <c r="B42" s="40" t="str">
        <f>image("https://i.imgur.com/JDgAgAO.png")</f>
        <v/>
      </c>
      <c r="C42" s="41"/>
      <c r="D42" s="43"/>
      <c r="E42" s="41"/>
      <c r="F42" s="40"/>
      <c r="G42" s="41"/>
      <c r="H42" s="43"/>
      <c r="I42" s="41"/>
      <c r="J42" s="40"/>
      <c r="K42" s="41"/>
      <c r="L42" s="43" t="str">
        <f>image("https://i.imgur.com/JDgAgAO.png")</f>
        <v/>
      </c>
      <c r="M42" s="41"/>
      <c r="N42" s="40" t="str">
        <f>image("https://i.imgur.com/JDgAgAO.png")</f>
        <v/>
      </c>
      <c r="O42" s="41"/>
      <c r="P42" s="40" t="str">
        <f>image("https://i.imgur.com/VQL4lPa.png")</f>
        <v/>
      </c>
      <c r="Q42" s="41"/>
      <c r="R42" s="33"/>
    </row>
    <row r="43" ht="18.75" customHeight="1">
      <c r="A43" s="6"/>
      <c r="B43" s="8" t="s">
        <v>379</v>
      </c>
      <c r="C43" s="10" t="s">
        <v>380</v>
      </c>
      <c r="D43" s="8" t="s">
        <v>381</v>
      </c>
      <c r="E43" s="10" t="s">
        <v>382</v>
      </c>
      <c r="F43" s="8" t="s">
        <v>383</v>
      </c>
      <c r="G43" s="10" t="s">
        <v>384</v>
      </c>
      <c r="H43" s="8" t="s">
        <v>385</v>
      </c>
      <c r="I43" s="10" t="s">
        <v>386</v>
      </c>
      <c r="J43" s="8" t="s">
        <v>387</v>
      </c>
      <c r="K43" s="10" t="s">
        <v>388</v>
      </c>
      <c r="L43" s="8" t="s">
        <v>389</v>
      </c>
      <c r="M43" s="10" t="s">
        <v>390</v>
      </c>
      <c r="N43" s="8" t="s">
        <v>391</v>
      </c>
      <c r="O43" s="10" t="s">
        <v>392</v>
      </c>
      <c r="P43" s="8" t="s">
        <v>393</v>
      </c>
      <c r="Q43" s="10" t="s">
        <v>394</v>
      </c>
      <c r="R43" s="14"/>
    </row>
    <row r="44" ht="26.25" customHeight="1">
      <c r="A44" s="15"/>
      <c r="B44" s="16" t="str">
        <f>image("https://i.imgur.com/SF5CZ6U.png")</f>
        <v/>
      </c>
      <c r="C44" s="20" t="str">
        <f>image("https://pokejungle.net/sprites/normal/"&amp;B43&amp;".png")</f>
        <v/>
      </c>
      <c r="D44" s="16" t="str">
        <f>image("https://i.imgur.com/SF5CZ6U.png")</f>
        <v/>
      </c>
      <c r="E44" s="20" t="str">
        <f>image("https://pokejungle.net/sprites/normal/"&amp;D43&amp;".png")</f>
        <v/>
      </c>
      <c r="F44" s="16" t="str">
        <f>image("https://i.imgur.com/SF5CZ6U.png")</f>
        <v/>
      </c>
      <c r="G44" s="20" t="str">
        <f>image("https://pokejungle.net/sprites/normal/"&amp;F43&amp;"-f.png")</f>
        <v/>
      </c>
      <c r="H44" s="24" t="str">
        <f>image("https://i.imgur.com/SF5CZ6U.png")</f>
        <v/>
      </c>
      <c r="I44" s="20" t="str">
        <f>image("https://pokejungle.net/sprites/normal/"&amp;H43&amp;"-f.png")</f>
        <v/>
      </c>
      <c r="J44" s="16" t="str">
        <f>image("https://i.imgur.com/RqSOGo6.png")</f>
        <v/>
      </c>
      <c r="K44" s="20" t="str">
        <f>image("https://pokejungle.net/sprites/normal/"&amp;J43&amp;".png")</f>
        <v/>
      </c>
      <c r="L44" s="28" t="str">
        <f>image("https://i.imgur.com/RqSOGo6.png")</f>
        <v/>
      </c>
      <c r="M44" s="20" t="str">
        <f>image("https://pokejungle.net/sprites/normal/"&amp;L43&amp;".png")</f>
        <v/>
      </c>
      <c r="N44" s="16" t="str">
        <f>image("https://i.imgur.com/XI18XGu.png")</f>
        <v/>
      </c>
      <c r="O44" s="20" t="str">
        <f>image("https://pokejungle.net/sprites/normal/"&amp;N43&amp;".png")</f>
        <v/>
      </c>
      <c r="P44" s="16" t="str">
        <f>image("https://i.imgur.com/XI18XGu.png")</f>
        <v/>
      </c>
      <c r="Q44" s="20" t="str">
        <f>image("https://pokejungle.net/sprites/normal/"&amp;P43&amp;".png")</f>
        <v/>
      </c>
      <c r="R44" s="33"/>
    </row>
    <row r="45" ht="26.25" customHeight="1">
      <c r="A45" s="15"/>
      <c r="B45" s="38" t="str">
        <f>image("https://i.imgur.com/JDgAgAO.png")</f>
        <v/>
      </c>
      <c r="C45" s="36"/>
      <c r="D45" s="35" t="str">
        <f>image("https://i.imgur.com/XIu6jDl.png")</f>
        <v/>
      </c>
      <c r="E45" s="36"/>
      <c r="F45" s="35" t="str">
        <f>image("https://i.imgur.com/ef1o2lD.png")</f>
        <v/>
      </c>
      <c r="G45" s="36"/>
      <c r="H45" s="37" t="str">
        <f>image("https://i.imgur.com/ef1o2lD.png")</f>
        <v/>
      </c>
      <c r="I45" s="36"/>
      <c r="J45" s="37" t="str">
        <f>image("https://i.imgur.com/GyNf8BH.png")</f>
        <v/>
      </c>
      <c r="K45" s="36"/>
      <c r="L45" s="37" t="str">
        <f>image("https://i.imgur.com/GyNf8BH.png")</f>
        <v/>
      </c>
      <c r="M45" s="36"/>
      <c r="N45" s="38" t="str">
        <f>image("https://i.imgur.com/rAI9Gyi.png")</f>
        <v/>
      </c>
      <c r="O45" s="36"/>
      <c r="P45" s="38" t="str">
        <f>image("https://i.imgur.com/rAI9Gyi.png")</f>
        <v/>
      </c>
      <c r="Q45" s="36"/>
      <c r="R45" s="33"/>
    </row>
    <row r="46" ht="26.25" customHeight="1">
      <c r="A46" s="15"/>
      <c r="B46" s="40"/>
      <c r="C46" s="41"/>
      <c r="D46" s="40" t="str">
        <f t="shared" ref="D46:D47" si="2">image("https://i.imgur.com/VQL4lPa.png")</f>
        <v/>
      </c>
      <c r="E46" s="41"/>
      <c r="F46" s="40"/>
      <c r="G46" s="41"/>
      <c r="H46" s="40"/>
      <c r="I46" s="41"/>
      <c r="J46" s="40" t="str">
        <f>image("https://i.imgur.com/bxys1sd.png")</f>
        <v/>
      </c>
      <c r="K46" s="41"/>
      <c r="L46" s="40" t="str">
        <f>image("https://i.imgur.com/bxys1sd.png")</f>
        <v/>
      </c>
      <c r="M46" s="41"/>
      <c r="N46" s="40" t="str">
        <f>image("https://i.imgur.com/nNTmuH8.png")</f>
        <v/>
      </c>
      <c r="O46" s="41"/>
      <c r="P46" s="40" t="str">
        <f>image("https://i.imgur.com/a9HBljD.png")</f>
        <v/>
      </c>
      <c r="Q46" s="41"/>
      <c r="R46" s="33"/>
    </row>
    <row r="47" ht="26.25" customHeight="1">
      <c r="A47" s="15"/>
      <c r="B47" s="16" t="str">
        <f>image("https://i.imgur.com/N2Wqr43.png")</f>
        <v/>
      </c>
      <c r="C47" s="20" t="str">
        <f>image("https://pokejungle.net/sprites/shiny/"&amp;B43&amp;"-f.png")</f>
        <v/>
      </c>
      <c r="D47" s="16" t="str">
        <f t="shared" si="2"/>
        <v/>
      </c>
      <c r="E47" s="20" t="str">
        <f>image("https://pokejungle.net/sprites/shiny/"&amp;D43&amp;".png")</f>
        <v/>
      </c>
      <c r="F47" s="16" t="str">
        <f>image("https://i.imgur.com/VQL4lPa.png")</f>
        <v/>
      </c>
      <c r="G47" s="20" t="str">
        <f>image("https://pokejungle.net/sprites/shiny/"&amp;F43&amp;".png")</f>
        <v/>
      </c>
      <c r="H47" s="16" t="str">
        <f>image("https://i.imgur.com/VQL4lPa.png")</f>
        <v/>
      </c>
      <c r="I47" s="20" t="str">
        <f>image("https://pokejungle.net/sprites/shiny/"&amp;H43&amp;".png")</f>
        <v/>
      </c>
      <c r="J47" s="16" t="str">
        <f>image("https://i.imgur.com/RqSOGo6.png")</f>
        <v/>
      </c>
      <c r="K47" s="20" t="str">
        <f>image("https://pokejungle.net/sprites/shiny/"&amp;J43&amp;".png")</f>
        <v/>
      </c>
      <c r="L47" s="16" t="str">
        <f>image("https://i.imgur.com/rJhTvoD.png")</f>
        <v/>
      </c>
      <c r="M47" s="20" t="str">
        <f>image("https://pokejungle.net/sprites/shiny/"&amp;L43&amp;".png")</f>
        <v/>
      </c>
      <c r="N47" s="16" t="str">
        <f>image("https://i.imgur.com/NkILW1J.png")</f>
        <v/>
      </c>
      <c r="O47" s="20" t="str">
        <f>image("https://pokejungle.net/sprites/shiny/"&amp;N43&amp;".png")</f>
        <v/>
      </c>
      <c r="P47" s="16" t="str">
        <f>image("https://i.imgur.com/XNzvO0H.png")</f>
        <v/>
      </c>
      <c r="Q47" s="20" t="str">
        <f>image("https://pokejungle.net/sprites/shiny/"&amp;P43&amp;".png")</f>
        <v/>
      </c>
      <c r="R47" s="33"/>
    </row>
    <row r="48" ht="26.25" customHeight="1">
      <c r="A48" s="15"/>
      <c r="B48" s="38" t="str">
        <f>image("https://i.imgur.com/XIu6jDl.png")</f>
        <v/>
      </c>
      <c r="C48" s="36"/>
      <c r="D48" s="46" t="str">
        <f>image("https://i.imgur.com/XIu6jDl.png")</f>
        <v/>
      </c>
      <c r="E48" s="36"/>
      <c r="F48" s="35" t="str">
        <f>image("https://i.imgur.com/XIu6jDl.png")</f>
        <v/>
      </c>
      <c r="G48" s="36"/>
      <c r="H48" s="46" t="str">
        <f>image("https://i.imgur.com/XIu6jDl.png")</f>
        <v/>
      </c>
      <c r="I48" s="36"/>
      <c r="J48" s="37" t="str">
        <f>image("https://i.imgur.com/GyNf8BH.png")</f>
        <v/>
      </c>
      <c r="K48" s="36"/>
      <c r="L48" s="46" t="str">
        <f>image("https://i.imgur.com/RqSOGo6.png")</f>
        <v/>
      </c>
      <c r="M48" s="36"/>
      <c r="N48" s="38" t="str">
        <f>image("https://i.imgur.com/SF5CZ6U.png")</f>
        <v/>
      </c>
      <c r="O48" s="36"/>
      <c r="P48" s="38"/>
      <c r="Q48" s="36"/>
      <c r="R48" s="33"/>
    </row>
    <row r="49" ht="26.25" customHeight="1">
      <c r="A49" s="15"/>
      <c r="B49" s="40" t="str">
        <f>image("https://i.imgur.com/VQL4lPa.png")</f>
        <v/>
      </c>
      <c r="C49" s="41"/>
      <c r="D49" s="43" t="str">
        <f>image("https://i.imgur.com/N2Wqr43.png")</f>
        <v/>
      </c>
      <c r="E49" s="41"/>
      <c r="F49" s="40" t="str">
        <f>image("https://i.imgur.com/N2Wqr43.png")</f>
        <v/>
      </c>
      <c r="G49" s="41"/>
      <c r="H49" s="43" t="str">
        <f>image("https://i.imgur.com/N2Wqr43.png")</f>
        <v/>
      </c>
      <c r="I49" s="41"/>
      <c r="J49" s="40" t="str">
        <f>image("https://i.imgur.com/bxys1sd.png")</f>
        <v/>
      </c>
      <c r="K49" s="41"/>
      <c r="L49" s="40" t="str">
        <f>image("https://i.imgur.com/beHgI95.png")</f>
        <v/>
      </c>
      <c r="M49" s="41"/>
      <c r="N49" s="40"/>
      <c r="O49" s="41"/>
      <c r="P49" s="40"/>
      <c r="Q49" s="41"/>
      <c r="R49" s="33"/>
    </row>
    <row r="50" ht="18.75" customHeight="1">
      <c r="A50" s="6"/>
      <c r="B50" s="8" t="s">
        <v>438</v>
      </c>
      <c r="C50" s="10" t="s">
        <v>439</v>
      </c>
      <c r="D50" s="8" t="s">
        <v>438</v>
      </c>
      <c r="E50" s="10" t="s">
        <v>440</v>
      </c>
      <c r="F50" s="8" t="s">
        <v>441</v>
      </c>
      <c r="G50" s="10" t="s">
        <v>442</v>
      </c>
      <c r="H50" s="8" t="s">
        <v>441</v>
      </c>
      <c r="I50" s="10" t="s">
        <v>443</v>
      </c>
      <c r="J50" s="8" t="s">
        <v>444</v>
      </c>
      <c r="K50" s="10" t="s">
        <v>445</v>
      </c>
      <c r="L50" s="8" t="s">
        <v>444</v>
      </c>
      <c r="M50" s="10" t="s">
        <v>446</v>
      </c>
      <c r="N50" s="8" t="s">
        <v>444</v>
      </c>
      <c r="O50" s="10" t="s">
        <v>447</v>
      </c>
      <c r="P50" s="8" t="s">
        <v>448</v>
      </c>
      <c r="Q50" s="10" t="s">
        <v>449</v>
      </c>
      <c r="R50" s="14"/>
    </row>
    <row r="51" ht="26.25" customHeight="1">
      <c r="A51" s="15"/>
      <c r="B51" s="16" t="str">
        <f>image("https://i.imgur.com/XIu6jDl.png")</f>
        <v/>
      </c>
      <c r="C51" s="20" t="str">
        <f>image("https://pokejungle.net/sprites/normal/"&amp;B50&amp;".png")</f>
        <v/>
      </c>
      <c r="D51" s="16" t="str">
        <f>image("https://i.imgur.com/EkqYYOB.png")</f>
        <v/>
      </c>
      <c r="E51" s="20" t="str">
        <f>image("https://pokejungle.net/sprites/normal/"&amp;D50&amp;"-1.png")</f>
        <v/>
      </c>
      <c r="F51" s="16" t="str">
        <f>image("https://i.imgur.com/XIu6jDl.png")</f>
        <v/>
      </c>
      <c r="G51" s="20" t="str">
        <f>image("https://pokejungle.net/sprites/normal/"&amp;F50&amp;".png")</f>
        <v/>
      </c>
      <c r="H51" s="24" t="str">
        <f>image("https://i.imgur.com/EkqYYOB.png")</f>
        <v/>
      </c>
      <c r="I51" s="20" t="str">
        <f>image("https://pokejungle.net/sprites/normal/"&amp;H50&amp;"-1.png")</f>
        <v/>
      </c>
      <c r="J51" s="16" t="str">
        <f>image("https://i.imgur.com/EkqYYOB.png")</f>
        <v/>
      </c>
      <c r="K51" s="20" t="str">
        <f>image("https://pokejungle.net/sprites/normal/"&amp;J50&amp;".png")</f>
        <v/>
      </c>
      <c r="L51" s="28" t="str">
        <f>image("https://i.imgur.com/JDgAgAO.png")</f>
        <v/>
      </c>
      <c r="M51" s="20" t="str">
        <f>image("https://pokejungle.net/sprites/normal/"&amp;L50&amp;"-1.png")</f>
        <v/>
      </c>
      <c r="N51" s="16" t="str">
        <f>image("https://i.imgur.com/beHgI95.png")</f>
        <v/>
      </c>
      <c r="O51" s="20" t="str">
        <f>image("https://pokejungle.net/sprites/normal/"&amp;N50&amp;"-2.png")</f>
        <v/>
      </c>
      <c r="P51" s="16" t="str">
        <f>image("https://i.imgur.com/EkqYYOB.png")</f>
        <v/>
      </c>
      <c r="Q51" s="20" t="str">
        <f>image("https://pokejungle.net/sprites/normal/"&amp;P50&amp;".png")</f>
        <v/>
      </c>
      <c r="R51" s="33"/>
    </row>
    <row r="52" ht="26.25" customHeight="1">
      <c r="A52" s="15"/>
      <c r="B52" s="38" t="str">
        <f>image("https://i.imgur.com/EkqYYOB.png")</f>
        <v/>
      </c>
      <c r="C52" s="36"/>
      <c r="D52" s="35" t="str">
        <f>image("https://i.imgur.com/beHgI95.png")</f>
        <v/>
      </c>
      <c r="E52" s="36"/>
      <c r="F52" s="35" t="str">
        <f>image("https://i.imgur.com/EkqYYOB.png")</f>
        <v/>
      </c>
      <c r="G52" s="36"/>
      <c r="H52" s="37" t="str">
        <f>image("https://i.imgur.com/beHgI95.png")</f>
        <v/>
      </c>
      <c r="I52" s="36"/>
      <c r="J52" s="38" t="str">
        <f>image("https://i.imgur.com/beHgI95.png")</f>
        <v/>
      </c>
      <c r="K52" s="36"/>
      <c r="L52" s="35" t="str">
        <f>image("https://i.imgur.com/EkqYYOB.png")</f>
        <v/>
      </c>
      <c r="M52" s="36"/>
      <c r="N52" s="38" t="str">
        <f>image("https://i.imgur.com/EkqYYOB.png")</f>
        <v/>
      </c>
      <c r="O52" s="36"/>
      <c r="P52" s="38" t="str">
        <f>image("https://i.imgur.com/beHgI95.png")</f>
        <v/>
      </c>
      <c r="Q52" s="36"/>
      <c r="R52" s="33"/>
    </row>
    <row r="53" ht="26.25" customHeight="1">
      <c r="A53" s="15"/>
      <c r="B53" s="43" t="str">
        <f>image("https://i.imgur.com/lpOVjtL.png")</f>
        <v/>
      </c>
      <c r="C53" s="41"/>
      <c r="D53" s="40"/>
      <c r="E53" s="41"/>
      <c r="F53" s="43" t="str">
        <f>image("https://i.imgur.com/lpOVjtL.png")</f>
        <v/>
      </c>
      <c r="G53" s="41"/>
      <c r="H53" s="40"/>
      <c r="I53" s="41"/>
      <c r="J53" s="40"/>
      <c r="K53" s="41"/>
      <c r="L53" s="43"/>
      <c r="M53" s="41"/>
      <c r="N53" s="40"/>
      <c r="O53" s="41"/>
      <c r="P53" s="40"/>
      <c r="Q53" s="41"/>
      <c r="R53" s="33"/>
    </row>
    <row r="54" ht="26.25" customHeight="1">
      <c r="A54" s="15"/>
      <c r="B54" s="16" t="str">
        <f>image("https://i.imgur.com/NkILW1J.png")</f>
        <v/>
      </c>
      <c r="C54" s="20" t="str">
        <f>image("https://pokejungle.net/sprites/shiny/"&amp;B50&amp;".png")</f>
        <v/>
      </c>
      <c r="D54" s="16" t="str">
        <f>image("https://i.imgur.com/ef1o2lD.png")</f>
        <v/>
      </c>
      <c r="E54" s="20" t="str">
        <f>image("https://pokejungle.net/sprites/shiny/"&amp;D50&amp;"-1.png")</f>
        <v/>
      </c>
      <c r="F54" s="16" t="str">
        <f>image("https://i.imgur.com/NkILW1J.png")</f>
        <v/>
      </c>
      <c r="G54" s="20" t="str">
        <f>image("https://pokejungle.net/sprites/shiny/"&amp;F50&amp;".png")</f>
        <v/>
      </c>
      <c r="H54" s="16" t="str">
        <f>image("https://i.imgur.com/ef1o2lD.png")</f>
        <v/>
      </c>
      <c r="I54" s="20" t="str">
        <f>image("https://pokejungle.net/sprites/shiny/"&amp;H50&amp;"-1.png")</f>
        <v/>
      </c>
      <c r="J54" s="16" t="str">
        <f>image("https://i.imgur.com/EkqYYOB.png")</f>
        <v/>
      </c>
      <c r="K54" s="20" t="str">
        <f>image("https://pokejungle.net/sprites/shiny/"&amp;J50&amp;".png")</f>
        <v/>
      </c>
      <c r="L54" s="16" t="str">
        <f>image("https://i.imgur.com/JDgAgAO.png")</f>
        <v/>
      </c>
      <c r="M54" s="20" t="str">
        <f>image("https://pokejungle.net/sprites/shiny/"&amp;L50&amp;"-1.png")</f>
        <v/>
      </c>
      <c r="N54" s="16" t="str">
        <f>image("https://i.imgur.com/beHgI95.png")</f>
        <v/>
      </c>
      <c r="O54" s="20" t="str">
        <f>image("https://pokejungle.net/sprites/shiny/"&amp;N50&amp;"-2.png")</f>
        <v/>
      </c>
      <c r="P54" s="16" t="str">
        <f>image("https://i.imgur.com/EkqYYOB.png")</f>
        <v/>
      </c>
      <c r="Q54" s="20" t="str">
        <f>image("https://pokejungle.net/sprites/shiny/"&amp;P50&amp;".png")</f>
        <v/>
      </c>
      <c r="R54" s="33"/>
    </row>
    <row r="55" ht="26.25" customHeight="1">
      <c r="A55" s="15"/>
      <c r="B55" s="38" t="str">
        <f>image("https://i.imgur.com/XIu6jDl.png")</f>
        <v/>
      </c>
      <c r="C55" s="36"/>
      <c r="D55" s="46" t="str">
        <f>image("https://i.imgur.com/SF5CZ6U.png")</f>
        <v/>
      </c>
      <c r="E55" s="36"/>
      <c r="F55" s="35" t="str">
        <f>image("https://i.imgur.com/XIu6jDl.png")</f>
        <v/>
      </c>
      <c r="G55" s="36"/>
      <c r="H55" s="46" t="str">
        <f>image("https://i.imgur.com/JDgAgAO.png")</f>
        <v/>
      </c>
      <c r="I55" s="36"/>
      <c r="J55" s="38" t="str">
        <f>image("https://i.imgur.com/beHgI95.png")</f>
        <v/>
      </c>
      <c r="K55" s="36"/>
      <c r="L55" s="46" t="str">
        <f>image("https://i.imgur.com/EkqYYOB.png")</f>
        <v/>
      </c>
      <c r="M55" s="36"/>
      <c r="N55" s="38" t="str">
        <f>image("https://i.imgur.com/EkqYYOB.png")</f>
        <v/>
      </c>
      <c r="O55" s="36"/>
      <c r="P55" s="38" t="str">
        <f>image("https://i.imgur.com/0ArMZjJ.png")</f>
        <v/>
      </c>
      <c r="Q55" s="36"/>
      <c r="R55" s="33"/>
    </row>
    <row r="56" ht="26.25" customHeight="1">
      <c r="A56" s="15"/>
      <c r="B56" s="40" t="str">
        <f>image("https://i.imgur.com/SF5CZ6U.png")</f>
        <v/>
      </c>
      <c r="C56" s="41"/>
      <c r="D56" s="43"/>
      <c r="E56" s="41"/>
      <c r="F56" s="40" t="str">
        <f>image("https://i.imgur.com/SF5CZ6U.png")</f>
        <v/>
      </c>
      <c r="G56" s="41"/>
      <c r="H56" s="43" t="str">
        <f>image("https://i.imgur.com/beHgI95.png")</f>
        <v/>
      </c>
      <c r="I56" s="41"/>
      <c r="J56" s="40" t="str">
        <f>image("https://i.imgur.com/0ArMZjJ.png")</f>
        <v/>
      </c>
      <c r="K56" s="41"/>
      <c r="L56" s="43"/>
      <c r="M56" s="41"/>
      <c r="N56" s="40"/>
      <c r="O56" s="41"/>
      <c r="P56" s="40" t="str">
        <f>image("https://i.imgur.com/beHgI95.png")</f>
        <v/>
      </c>
      <c r="Q56" s="41"/>
      <c r="R56" s="33"/>
    </row>
    <row r="57" ht="18.75" customHeight="1">
      <c r="A57" s="6"/>
      <c r="B57" s="8" t="s">
        <v>448</v>
      </c>
      <c r="C57" s="10" t="s">
        <v>477</v>
      </c>
      <c r="D57" s="8" t="s">
        <v>480</v>
      </c>
      <c r="E57" s="10" t="s">
        <v>483</v>
      </c>
      <c r="F57" s="8" t="s">
        <v>486</v>
      </c>
      <c r="G57" s="10" t="s">
        <v>489</v>
      </c>
      <c r="H57" s="8" t="s">
        <v>492</v>
      </c>
      <c r="I57" s="10" t="s">
        <v>494</v>
      </c>
      <c r="J57" s="8" t="s">
        <v>497</v>
      </c>
      <c r="K57" s="10" t="s">
        <v>499</v>
      </c>
      <c r="L57" s="8" t="s">
        <v>501</v>
      </c>
      <c r="M57" s="10" t="s">
        <v>503</v>
      </c>
      <c r="N57" s="8" t="s">
        <v>501</v>
      </c>
      <c r="O57" s="10" t="s">
        <v>506</v>
      </c>
      <c r="P57" s="8" t="s">
        <v>508</v>
      </c>
      <c r="Q57" s="10" t="s">
        <v>509</v>
      </c>
      <c r="R57" s="14"/>
    </row>
    <row r="58" ht="26.25" customHeight="1">
      <c r="A58" s="15"/>
      <c r="B58" s="16" t="str">
        <f>image("https://i.imgur.com/JDgAgAO.png")</f>
        <v/>
      </c>
      <c r="C58" s="20" t="str">
        <f>image("https://pokejungle.net/sprites/normal/"&amp;B57&amp;"-1.png")</f>
        <v/>
      </c>
      <c r="D58" s="16" t="str">
        <f>image("https://i.imgur.com/beHgI95.png")</f>
        <v/>
      </c>
      <c r="E58" s="20" t="str">
        <f>image("https://pokejungle.net/sprites/normal/"&amp;D57&amp;".png")</f>
        <v/>
      </c>
      <c r="F58" s="16" t="str">
        <f>image("https://i.imgur.com/ef1o2lD.png")</f>
        <v/>
      </c>
      <c r="G58" s="20" t="str">
        <f>image("https://pokejungle.net/sprites/normal/"&amp;F57&amp;".png")</f>
        <v/>
      </c>
      <c r="H58" s="24" t="str">
        <f>image("https://i.imgur.com/XIu6jDl.png")</f>
        <v/>
      </c>
      <c r="I58" s="20" t="str">
        <f>image("https://pokejungle.net/sprites/normal/"&amp;H57&amp;".png")</f>
        <v/>
      </c>
      <c r="J58" s="16" t="str">
        <f>image("https://i.imgur.com/XIu6jDl.png")</f>
        <v/>
      </c>
      <c r="K58" s="20" t="str">
        <f>image("https://pokejungle.net/sprites/normal/"&amp;J57&amp;".png")</f>
        <v/>
      </c>
      <c r="L58" s="28" t="str">
        <f>image("https://i.imgur.com/RqSOGo6.png")</f>
        <v/>
      </c>
      <c r="M58" s="20" t="str">
        <f>image("https://pokejungle.net/sprites/normal/"&amp;L57&amp;".png")</f>
        <v/>
      </c>
      <c r="N58" s="16" t="str">
        <f>image("https://i.imgur.com/RqSOGo6.png")</f>
        <v/>
      </c>
      <c r="O58" s="20" t="str">
        <f>image("https://pokejungle.net/sprites/normal/"&amp;N57&amp;"-1.png")</f>
        <v/>
      </c>
      <c r="P58" s="16" t="str">
        <f>image("https://i.imgur.com/RqSOGo6.png")</f>
        <v/>
      </c>
      <c r="Q58" s="20" t="str">
        <f>image("https://pokejungle.net/sprites/normal/"&amp;P57&amp;".png")</f>
        <v/>
      </c>
      <c r="R58" s="33"/>
    </row>
    <row r="59" ht="26.25" customHeight="1">
      <c r="A59" s="15"/>
      <c r="B59" s="38" t="str">
        <f>image("https://i.imgur.com/EkqYYOB.png")</f>
        <v/>
      </c>
      <c r="C59" s="36"/>
      <c r="D59" s="35"/>
      <c r="E59" s="36"/>
      <c r="F59" s="35" t="str">
        <f>image("https://i.imgur.com/zpybKax.png")</f>
        <v/>
      </c>
      <c r="G59" s="36"/>
      <c r="H59" s="38" t="str">
        <f>image("https://i.imgur.com/lpOVjtL.png")</f>
        <v/>
      </c>
      <c r="I59" s="36"/>
      <c r="J59" s="38" t="str">
        <f>image("https://i.imgur.com/lpOVjtL.png")</f>
        <v/>
      </c>
      <c r="K59" s="36"/>
      <c r="L59" s="35" t="str">
        <f>image("https://i.imgur.com/lKAfx6k.png")</f>
        <v/>
      </c>
      <c r="M59" s="36"/>
      <c r="N59" s="38"/>
      <c r="O59" s="36"/>
      <c r="P59" s="38" t="str">
        <f>image("https://i.imgur.com/lKAfx6k.png")</f>
        <v/>
      </c>
      <c r="Q59" s="36"/>
      <c r="R59" s="33"/>
    </row>
    <row r="60" ht="26.25" customHeight="1">
      <c r="A60" s="15"/>
      <c r="B60" s="40" t="str">
        <f>image("https://i.imgur.com/XNzvO0H.png")</f>
        <v/>
      </c>
      <c r="C60" s="41"/>
      <c r="D60" s="40"/>
      <c r="E60" s="41"/>
      <c r="F60" s="40" t="str">
        <f>image("https://i.imgur.com/XNzvO0H.png")</f>
        <v/>
      </c>
      <c r="G60" s="41"/>
      <c r="H60" s="40"/>
      <c r="I60" s="41"/>
      <c r="J60" s="40"/>
      <c r="K60" s="41"/>
      <c r="L60" s="43"/>
      <c r="M60" s="41"/>
      <c r="N60" s="40"/>
      <c r="O60" s="41"/>
      <c r="P60" s="40"/>
      <c r="Q60" s="41"/>
      <c r="R60" s="33"/>
    </row>
    <row r="61" ht="26.25" customHeight="1">
      <c r="A61" s="15"/>
      <c r="B61" s="16" t="str">
        <f>image("https://i.imgur.com/JDgAgAO.png")</f>
        <v/>
      </c>
      <c r="C61" s="20" t="str">
        <f>image("https://pokejungle.net/sprites/shiny/"&amp;B57&amp;"-1.png")</f>
        <v/>
      </c>
      <c r="D61" s="16" t="str">
        <f>image("https://i.imgur.com/XNzvO0H.png")</f>
        <v/>
      </c>
      <c r="E61" s="20" t="str">
        <f>image("https://pokejungle.net/sprites/shiny/"&amp;D57&amp;".png")</f>
        <v/>
      </c>
      <c r="F61" s="16" t="str">
        <f>image("https://i.imgur.com/ef1o2lD.png")</f>
        <v/>
      </c>
      <c r="G61" s="20" t="str">
        <f>image("https://pokejungle.net/sprites/shiny/"&amp;F57&amp;".png")</f>
        <v/>
      </c>
      <c r="H61" s="16" t="str">
        <f>image("https://i.imgur.com/XIu6jDl.png")</f>
        <v/>
      </c>
      <c r="I61" s="20" t="str">
        <f>image("https://pokejungle.net/sprites/shiny/"&amp;H57&amp;".png")</f>
        <v/>
      </c>
      <c r="J61" s="16" t="str">
        <f>image("https://i.imgur.com/XIu6jDl.png")</f>
        <v/>
      </c>
      <c r="K61" s="20" t="str">
        <f>image("https://pokejungle.net/sprites/shiny/"&amp;J57&amp;".png")</f>
        <v/>
      </c>
      <c r="L61" s="16" t="str">
        <f>image("https://i.imgur.com/beHgI95.png")</f>
        <v/>
      </c>
      <c r="M61" s="20" t="str">
        <f>image("https://pokejungle.net/sprites/shiny/"&amp;L57&amp;".png")</f>
        <v/>
      </c>
      <c r="N61" s="16" t="str">
        <f>image("https://i.imgur.com/beHgI95.png")</f>
        <v/>
      </c>
      <c r="O61" s="20" t="str">
        <f>image("https://pokejungle.net/sprites/shiny/"&amp;N57&amp;"-1.png")</f>
        <v/>
      </c>
      <c r="P61" s="16" t="str">
        <f>image("https://i.imgur.com/beHgI95.png")</f>
        <v/>
      </c>
      <c r="Q61" s="20" t="str">
        <f>image("https://pokejungle.net/sprites/shiny/"&amp;P57&amp;".png")</f>
        <v/>
      </c>
      <c r="R61" s="33"/>
    </row>
    <row r="62" ht="26.25" customHeight="1">
      <c r="A62" s="15"/>
      <c r="B62" s="38" t="str">
        <f>image("https://i.imgur.com/EkqYYOB.png")</f>
        <v/>
      </c>
      <c r="C62" s="36"/>
      <c r="D62" s="38" t="str">
        <f>image("https://i.imgur.com/eru43o1.png")</f>
        <v/>
      </c>
      <c r="E62" s="36"/>
      <c r="F62" s="35" t="str">
        <f>image("https://i.imgur.com/SF5CZ6U.png")</f>
        <v/>
      </c>
      <c r="G62" s="36"/>
      <c r="H62" s="38" t="str">
        <f>image("https://i.imgur.com/lpOVjtL.png")</f>
        <v/>
      </c>
      <c r="I62" s="36"/>
      <c r="J62" s="38" t="str">
        <f>image("https://i.imgur.com/lpOVjtL.png")</f>
        <v/>
      </c>
      <c r="K62" s="36"/>
      <c r="L62" s="46" t="str">
        <f>image("https://i.imgur.com/rJhTvoD.png")</f>
        <v/>
      </c>
      <c r="M62" s="36"/>
      <c r="N62" s="38" t="str">
        <f>image("https://i.imgur.com/rJhTvoD.png")</f>
        <v/>
      </c>
      <c r="O62" s="36"/>
      <c r="P62" s="38" t="str">
        <f>image("https://i.imgur.com/rJhTvoD.png")</f>
        <v/>
      </c>
      <c r="Q62" s="36"/>
      <c r="R62" s="33"/>
    </row>
    <row r="63" ht="26.25" customHeight="1">
      <c r="A63" s="15"/>
      <c r="B63" s="40"/>
      <c r="C63" s="41"/>
      <c r="D63" s="43"/>
      <c r="E63" s="41"/>
      <c r="F63" s="40" t="str">
        <f>image("https://i.imgur.com/XNzvO0H.png")</f>
        <v/>
      </c>
      <c r="G63" s="41"/>
      <c r="H63" s="43"/>
      <c r="I63" s="41"/>
      <c r="J63" s="40"/>
      <c r="K63" s="41"/>
      <c r="L63" s="43"/>
      <c r="M63" s="41"/>
      <c r="N63" s="40"/>
      <c r="O63" s="41"/>
      <c r="P63" s="40"/>
      <c r="Q63" s="41"/>
      <c r="R63" s="33"/>
    </row>
    <row r="64" ht="18.75" customHeight="1">
      <c r="A64" s="6"/>
      <c r="B64" s="8" t="s">
        <v>508</v>
      </c>
      <c r="C64" s="10" t="s">
        <v>527</v>
      </c>
      <c r="D64" s="8" t="s">
        <v>528</v>
      </c>
      <c r="E64" s="10" t="s">
        <v>529</v>
      </c>
      <c r="F64" s="8" t="s">
        <v>530</v>
      </c>
      <c r="G64" s="10" t="s">
        <v>531</v>
      </c>
      <c r="H64" s="8" t="s">
        <v>532</v>
      </c>
      <c r="I64" s="10" t="s">
        <v>533</v>
      </c>
      <c r="J64" s="8" t="s">
        <v>535</v>
      </c>
      <c r="K64" s="10" t="s">
        <v>537</v>
      </c>
      <c r="L64" s="8" t="s">
        <v>538</v>
      </c>
      <c r="M64" s="10" t="s">
        <v>540</v>
      </c>
      <c r="N64" s="8" t="s">
        <v>541</v>
      </c>
      <c r="O64" s="10" t="s">
        <v>543</v>
      </c>
      <c r="P64" s="8" t="s">
        <v>545</v>
      </c>
      <c r="Q64" s="10" t="s">
        <v>547</v>
      </c>
      <c r="R64" s="14"/>
    </row>
    <row r="65" ht="26.25" customHeight="1">
      <c r="A65" s="15"/>
      <c r="B65" s="16" t="str">
        <f>image("https://i.imgur.com/RqSOGo6.png")</f>
        <v/>
      </c>
      <c r="C65" s="20" t="str">
        <f>image("https://pokejungle.net/sprites/normal/"&amp;B64&amp;"-1.png")</f>
        <v/>
      </c>
      <c r="D65" s="16" t="str">
        <f>image("https://i.imgur.com/XNzvO0H.png")</f>
        <v/>
      </c>
      <c r="E65" s="20" t="str">
        <f>image("https://pokejungle.net/sprites/normal/"&amp;D64&amp;".png")</f>
        <v/>
      </c>
      <c r="F65" s="16" t="str">
        <f>image("https://i.imgur.com/XNzvO0H.png")</f>
        <v/>
      </c>
      <c r="G65" s="20" t="str">
        <f>image("https://pokejungle.net/sprites/normal/"&amp;F64&amp;".png")</f>
        <v/>
      </c>
      <c r="H65" s="24" t="str">
        <f>image("https://i.imgur.com/XNzvO0H.png")</f>
        <v/>
      </c>
      <c r="I65" s="20" t="str">
        <f>image("https://pokejungle.net/sprites/normal/"&amp;H64&amp;".png")</f>
        <v/>
      </c>
      <c r="J65" s="16" t="str">
        <f>image("https://i.imgur.com/beHgI95.png")</f>
        <v/>
      </c>
      <c r="K65" s="20" t="str">
        <f>image("https://pokejungle.net/sprites/normal/"&amp;J64&amp;".png")</f>
        <v/>
      </c>
      <c r="L65" s="28" t="str">
        <f>image("https://i.imgur.com/beHgI95.png")</f>
        <v/>
      </c>
      <c r="M65" s="20" t="str">
        <f>image("https://pokejungle.net/sprites/normal/"&amp;L64&amp;".png")</f>
        <v/>
      </c>
      <c r="N65" s="16" t="str">
        <f>image("https://i.imgur.com/beHgI95.png")</f>
        <v/>
      </c>
      <c r="O65" s="20" t="str">
        <f>image("https://pokejungle.net/sprites/normal/"&amp;N64&amp;".png")</f>
        <v/>
      </c>
      <c r="P65" s="16" t="str">
        <f>image("https://i.imgur.com/SF5CZ6U.png")</f>
        <v/>
      </c>
      <c r="Q65" s="20" t="str">
        <f>image("https://pokejungle.net/sprites/normal/"&amp;P64&amp;".png")</f>
        <v/>
      </c>
      <c r="R65" s="33"/>
    </row>
    <row r="66" ht="26.25" customHeight="1">
      <c r="A66" s="15"/>
      <c r="B66" s="38"/>
      <c r="C66" s="36"/>
      <c r="D66" s="35"/>
      <c r="E66" s="36"/>
      <c r="F66" s="35"/>
      <c r="G66" s="36"/>
      <c r="H66" s="37"/>
      <c r="I66" s="36"/>
      <c r="J66" s="38" t="str">
        <f>image("https://i.imgur.com/rJhTvoD.png")</f>
        <v/>
      </c>
      <c r="K66" s="36"/>
      <c r="L66" s="35" t="str">
        <f>image("https://i.imgur.com/rJhTvoD.png")</f>
        <v/>
      </c>
      <c r="M66" s="36"/>
      <c r="N66" s="38" t="str">
        <f>image("https://i.imgur.com/rJhTvoD.png")</f>
        <v/>
      </c>
      <c r="O66" s="36"/>
      <c r="P66" s="38" t="str">
        <f>image("https://i.imgur.com/XNzvO0H.png")</f>
        <v/>
      </c>
      <c r="Q66" s="36"/>
      <c r="R66" s="33"/>
    </row>
    <row r="67" ht="26.25" customHeight="1">
      <c r="A67" s="15"/>
      <c r="B67" s="40"/>
      <c r="C67" s="41"/>
      <c r="D67" s="40"/>
      <c r="E67" s="41"/>
      <c r="F67" s="40"/>
      <c r="G67" s="41"/>
      <c r="H67" s="40"/>
      <c r="I67" s="41"/>
      <c r="J67" s="40" t="str">
        <f>image("https://i.imgur.com/EkqYYOB.png")</f>
        <v/>
      </c>
      <c r="K67" s="41"/>
      <c r="L67" s="43" t="str">
        <f>image("https://i.imgur.com/EkqYYOB.png")</f>
        <v/>
      </c>
      <c r="M67" s="41"/>
      <c r="N67" s="40" t="str">
        <f>image("https://i.imgur.com/EkqYYOB.png")</f>
        <v/>
      </c>
      <c r="O67" s="41"/>
      <c r="P67" s="43" t="str">
        <f>image("https://i.imgur.com/eru43o1.png")</f>
        <v/>
      </c>
      <c r="Q67" s="41"/>
      <c r="R67" s="33"/>
    </row>
    <row r="68" ht="26.25" customHeight="1">
      <c r="A68" s="15"/>
      <c r="B68" s="16" t="str">
        <f>image("https://i.imgur.com/beHgI95.png")</f>
        <v/>
      </c>
      <c r="C68" s="20" t="str">
        <f>image("https://pokejungle.net/sprites/shiny/"&amp;B64&amp;"-1.png")</f>
        <v/>
      </c>
      <c r="D68" s="16" t="str">
        <f>image("https://i.imgur.com/XNzvO0H.png")</f>
        <v/>
      </c>
      <c r="E68" s="20" t="str">
        <f>image("https://pokejungle.net/sprites/shiny/"&amp;D64&amp;".png")</f>
        <v/>
      </c>
      <c r="F68" s="16" t="str">
        <f>image("https://i.imgur.com/XNzvO0H.png")</f>
        <v/>
      </c>
      <c r="G68" s="20" t="str">
        <f>image("https://pokejungle.net/sprites/shiny/"&amp;F64&amp;".png")</f>
        <v/>
      </c>
      <c r="H68" s="16" t="str">
        <f>image("https://i.imgur.com/VQL4lPa.png")</f>
        <v/>
      </c>
      <c r="I68" s="20" t="str">
        <f>image("https://pokejungle.net/sprites/shiny/"&amp;H64&amp;".png")</f>
        <v/>
      </c>
      <c r="J68" s="16" t="str">
        <f>image("https://i.imgur.com/beHgI95.png")</f>
        <v/>
      </c>
      <c r="K68" s="20" t="str">
        <f>image("https://pokejungle.net/sprites/shiny/"&amp;J64&amp;".png")</f>
        <v/>
      </c>
      <c r="L68" s="16" t="str">
        <f>image("https://i.imgur.com/beHgI95.png")</f>
        <v/>
      </c>
      <c r="M68" s="20" t="str">
        <f>image("https://pokejungle.net/sprites/shiny/"&amp;L64&amp;"-f.png")</f>
        <v/>
      </c>
      <c r="N68" s="16" t="str">
        <f>image("https://i.imgur.com/rAI9Gyi.png")</f>
        <v/>
      </c>
      <c r="O68" s="20" t="str">
        <f>image("https://pokejungle.net/sprites/shiny/"&amp;N64&amp;"-f.png")</f>
        <v/>
      </c>
      <c r="P68" s="16" t="str">
        <f>image("https://i.imgur.com/EkqYYOB.png")</f>
        <v/>
      </c>
      <c r="Q68" s="20" t="str">
        <f>image("https://pokejungle.net/sprites/shiny/"&amp;P64&amp;".png")</f>
        <v/>
      </c>
      <c r="R68" s="33"/>
    </row>
    <row r="69" ht="26.25" customHeight="1">
      <c r="A69" s="15"/>
      <c r="B69" s="38" t="str">
        <f>image("https://i.imgur.com/rJhTvoD.png")</f>
        <v/>
      </c>
      <c r="C69" s="36"/>
      <c r="D69" s="46"/>
      <c r="E69" s="36"/>
      <c r="F69" s="35"/>
      <c r="G69" s="36"/>
      <c r="H69" s="46" t="str">
        <f>image("https://i.imgur.com/XIu6jDl.png")</f>
        <v/>
      </c>
      <c r="I69" s="36"/>
      <c r="J69" s="38"/>
      <c r="K69" s="36"/>
      <c r="L69" s="46"/>
      <c r="M69" s="36"/>
      <c r="N69" s="38" t="str">
        <f>image("https://i.imgur.com/beHgI95.png")</f>
        <v/>
      </c>
      <c r="O69" s="36"/>
      <c r="P69" s="38" t="str">
        <f>image("https://i.imgur.com/XIu6jDl.png")</f>
        <v/>
      </c>
      <c r="Q69" s="36"/>
      <c r="R69" s="33"/>
    </row>
    <row r="70" ht="26.25" customHeight="1">
      <c r="A70" s="15"/>
      <c r="B70" s="40"/>
      <c r="C70" s="41"/>
      <c r="D70" s="43"/>
      <c r="E70" s="41"/>
      <c r="F70" s="40"/>
      <c r="G70" s="41"/>
      <c r="H70" s="43"/>
      <c r="I70" s="41"/>
      <c r="J70" s="40"/>
      <c r="K70" s="41"/>
      <c r="L70" s="43"/>
      <c r="M70" s="41"/>
      <c r="N70" s="40"/>
      <c r="O70" s="41"/>
      <c r="P70" s="40"/>
      <c r="Q70" s="41"/>
      <c r="R70" s="33"/>
    </row>
    <row r="71" ht="18.75" customHeight="1">
      <c r="A71" s="6"/>
      <c r="B71" s="8" t="s">
        <v>587</v>
      </c>
      <c r="C71" s="10" t="s">
        <v>588</v>
      </c>
      <c r="D71" s="8" t="s">
        <v>589</v>
      </c>
      <c r="E71" s="10" t="s">
        <v>590</v>
      </c>
      <c r="F71" s="8" t="s">
        <v>591</v>
      </c>
      <c r="G71" s="10" t="s">
        <v>592</v>
      </c>
      <c r="H71" s="8" t="s">
        <v>593</v>
      </c>
      <c r="I71" s="10" t="s">
        <v>594</v>
      </c>
      <c r="J71" s="8" t="s">
        <v>595</v>
      </c>
      <c r="K71" s="10" t="s">
        <v>596</v>
      </c>
      <c r="L71" s="8" t="s">
        <v>597</v>
      </c>
      <c r="M71" s="10" t="s">
        <v>598</v>
      </c>
      <c r="N71" s="8" t="s">
        <v>599</v>
      </c>
      <c r="O71" s="10" t="s">
        <v>600</v>
      </c>
      <c r="P71" s="8" t="s">
        <v>601</v>
      </c>
      <c r="Q71" s="10" t="s">
        <v>602</v>
      </c>
      <c r="R71" s="14"/>
    </row>
    <row r="72" ht="26.25" customHeight="1">
      <c r="A72" s="15"/>
      <c r="B72" s="16" t="str">
        <f>image("https://i.imgur.com/SF5CZ6U.png")</f>
        <v/>
      </c>
      <c r="C72" s="20" t="str">
        <f>image("https://pokejungle.net/sprites/normal/"&amp;B71&amp;".png")</f>
        <v/>
      </c>
      <c r="D72" s="16" t="str">
        <f>image("https://i.imgur.com/SF5CZ6U.png")</f>
        <v/>
      </c>
      <c r="E72" s="20" t="str">
        <f>image("https://pokejungle.net/sprites/normal/"&amp;D71&amp;".png")</f>
        <v/>
      </c>
      <c r="F72" s="16" t="str">
        <f>image("https://i.imgur.com/XIu6jDl.png")</f>
        <v/>
      </c>
      <c r="G72" s="20" t="str">
        <f>image("https://pokejungle.net/sprites/normal/"&amp;F71&amp;".png")</f>
        <v/>
      </c>
      <c r="H72" s="24" t="str">
        <f>image("https://i.imgur.com/XIu6jDl.png")</f>
        <v/>
      </c>
      <c r="I72" s="20" t="str">
        <f>image("https://pokejungle.net/sprites/normal/"&amp;H71&amp;".png")</f>
        <v/>
      </c>
      <c r="J72" s="16" t="str">
        <f>image("https://i.imgur.com/XIu6jDl.png")</f>
        <v/>
      </c>
      <c r="K72" s="20" t="str">
        <f>image("https://pokejungle.net/sprites/normal/"&amp;J71&amp;".png")</f>
        <v/>
      </c>
      <c r="L72" s="28" t="str">
        <f>image("https://i.imgur.com/SF5CZ6U.png")</f>
        <v/>
      </c>
      <c r="M72" s="20" t="str">
        <f>image("https://pokejungle.net/sprites/normal/"&amp;L71&amp;".png")</f>
        <v/>
      </c>
      <c r="N72" s="16" t="str">
        <f>image("https://i.imgur.com/SF5CZ6U.png")</f>
        <v/>
      </c>
      <c r="O72" s="20" t="str">
        <f>image("https://pokejungle.net/sprites/normal/"&amp;N71&amp;".png")</f>
        <v/>
      </c>
      <c r="P72" s="16" t="str">
        <f>image("https://i.imgur.com/NkILW1J.png")</f>
        <v/>
      </c>
      <c r="Q72" s="20" t="str">
        <f>image("https://pokejungle.net/sprites/normal/"&amp;P71&amp;".png")</f>
        <v/>
      </c>
      <c r="R72" s="33"/>
    </row>
    <row r="73" ht="26.25" customHeight="1">
      <c r="A73" s="15"/>
      <c r="B73" s="38" t="str">
        <f>image("https://i.imgur.com/NkILW1J.png")</f>
        <v/>
      </c>
      <c r="C73" s="36"/>
      <c r="D73" s="35" t="str">
        <f>image("https://i.imgur.com/NkILW1J.png")</f>
        <v/>
      </c>
      <c r="E73" s="36"/>
      <c r="F73" s="35" t="str">
        <f>image("https://i.imgur.com/beHgI95.png")</f>
        <v/>
      </c>
      <c r="G73" s="36"/>
      <c r="H73" s="37" t="str">
        <f>image("https://i.imgur.com/beHgI95.png")</f>
        <v/>
      </c>
      <c r="I73" s="36"/>
      <c r="J73" s="38" t="str">
        <f>image("https://i.imgur.com/beHgI95.png")</f>
        <v/>
      </c>
      <c r="K73" s="36"/>
      <c r="L73" s="35" t="str">
        <f>image("https://i.imgur.com/ef1o2lD.png")</f>
        <v/>
      </c>
      <c r="M73" s="36"/>
      <c r="N73" s="38" t="str">
        <f>image("https://i.imgur.com/ef1o2lD.png")</f>
        <v/>
      </c>
      <c r="O73" s="36"/>
      <c r="P73" s="38" t="str">
        <f>image("https://i.imgur.com/lpOVjtL.png")</f>
        <v/>
      </c>
      <c r="Q73" s="36"/>
      <c r="R73" s="33"/>
    </row>
    <row r="74" ht="26.25" customHeight="1">
      <c r="A74" s="15"/>
      <c r="B74" s="40" t="str">
        <f>image("https://i.imgur.com/JDgAgAO.png")</f>
        <v/>
      </c>
      <c r="C74" s="41"/>
      <c r="D74" s="40" t="str">
        <f>image("https://i.imgur.com/JDgAgAO.png")</f>
        <v/>
      </c>
      <c r="E74" s="41"/>
      <c r="F74" s="40"/>
      <c r="G74" s="41"/>
      <c r="H74" s="40"/>
      <c r="I74" s="41"/>
      <c r="J74" s="40"/>
      <c r="K74" s="41"/>
      <c r="L74" s="43"/>
      <c r="M74" s="41"/>
      <c r="N74" s="40"/>
      <c r="O74" s="41"/>
      <c r="P74" s="40" t="str">
        <f>image("https://i.imgur.com/XIu6jDl.png")</f>
        <v/>
      </c>
      <c r="Q74" s="41"/>
      <c r="R74" s="33"/>
    </row>
    <row r="75" ht="26.25" customHeight="1">
      <c r="A75" s="15"/>
      <c r="B75" s="16" t="str">
        <f>image("https://i.imgur.com/VQL4lPa.png")</f>
        <v/>
      </c>
      <c r="C75" s="20" t="str">
        <f>image("https://pokejungle.net/sprites/shiny/"&amp;B71&amp;".png")</f>
        <v/>
      </c>
      <c r="D75" s="16" t="str">
        <f>image("https://i.imgur.com/VQL4lPa.png")</f>
        <v/>
      </c>
      <c r="E75" s="20" t="str">
        <f>image("https://pokejungle.net/sprites/shiny/"&amp;D71&amp;".png")</f>
        <v/>
      </c>
      <c r="F75" s="16" t="str">
        <f>image("https://i.imgur.com/beHgI95.png")</f>
        <v/>
      </c>
      <c r="G75" s="20" t="str">
        <f>image("https://pokejungle.net/sprites/shiny/"&amp;F71&amp;".png")</f>
        <v/>
      </c>
      <c r="H75" s="16" t="str">
        <f>image("https://i.imgur.com/XIu6jDl.png")</f>
        <v/>
      </c>
      <c r="I75" s="20" t="str">
        <f>image("https://pokejungle.net/sprites/shiny/"&amp;H71&amp;".png")</f>
        <v/>
      </c>
      <c r="J75" s="16" t="str">
        <f>image("https://i.imgur.com/XIu6jDl.png")</f>
        <v/>
      </c>
      <c r="K75" s="20" t="str">
        <f>image("https://pokejungle.net/sprites/shiny/"&amp;J71&amp;".png")</f>
        <v/>
      </c>
      <c r="L75" s="16" t="str">
        <f>image("https://i.imgur.com/XzidFHI.png")</f>
        <v/>
      </c>
      <c r="M75" s="20" t="str">
        <f>image("https://pokejungle.net/sprites/shiny/"&amp;L71&amp;".png")</f>
        <v/>
      </c>
      <c r="N75" s="16" t="str">
        <f>image("https://i.imgur.com/XzidFHI.png")</f>
        <v/>
      </c>
      <c r="O75" s="20" t="str">
        <f>image("https://pokejungle.net/sprites/shiny/"&amp;N71&amp;".png")</f>
        <v/>
      </c>
      <c r="P75" s="16" t="str">
        <f>image("https://i.imgur.com/rJhTvoD.png")</f>
        <v/>
      </c>
      <c r="Q75" s="20" t="str">
        <f>image("https://pokejungle.net/sprites/shiny/"&amp;P71&amp;".png")</f>
        <v/>
      </c>
      <c r="R75" s="33"/>
    </row>
    <row r="76" ht="26.25" customHeight="1">
      <c r="A76" s="15"/>
      <c r="B76" s="38" t="str">
        <f>image("https://i.imgur.com/XIu6jDl.png")</f>
        <v/>
      </c>
      <c r="C76" s="36"/>
      <c r="D76" s="46" t="str">
        <f>image("https://i.imgur.com/XIu6jDl.png")</f>
        <v/>
      </c>
      <c r="E76" s="36"/>
      <c r="F76" s="35" t="str">
        <f>image("https://i.imgur.com/lpOVjtL.png")</f>
        <v/>
      </c>
      <c r="G76" s="36"/>
      <c r="H76" s="46" t="str">
        <f>image("https://i.imgur.com/VQL4lPa.png")</f>
        <v/>
      </c>
      <c r="I76" s="36"/>
      <c r="J76" s="38" t="str">
        <f>image("https://i.imgur.com/lpOVjtL.png")</f>
        <v/>
      </c>
      <c r="K76" s="36"/>
      <c r="L76" s="46" t="str">
        <f>image("https://i.imgur.com/VQL4lPa.png")</f>
        <v/>
      </c>
      <c r="M76" s="36"/>
      <c r="N76" s="38" t="str">
        <f>image("https://i.imgur.com/zpybKax.png")</f>
        <v/>
      </c>
      <c r="O76" s="36"/>
      <c r="P76" s="38" t="str">
        <f>image("https://i.imgur.com/beHgI95.png")</f>
        <v/>
      </c>
      <c r="Q76" s="36"/>
      <c r="R76" s="33"/>
    </row>
    <row r="77" ht="26.25" customHeight="1">
      <c r="A77" s="15"/>
      <c r="B77" s="40"/>
      <c r="C77" s="41"/>
      <c r="D77" s="43"/>
      <c r="E77" s="41"/>
      <c r="F77" s="40" t="str">
        <f>image("https://i.imgur.com/EkqYYOB.png")</f>
        <v/>
      </c>
      <c r="G77" s="41"/>
      <c r="H77" s="43" t="str">
        <f>image("https://i.imgur.com/lpOVjtL.png")</f>
        <v/>
      </c>
      <c r="I77" s="41"/>
      <c r="J77" s="40" t="str">
        <f>image("https://i.imgur.com/JDgAgAO.png")</f>
        <v/>
      </c>
      <c r="K77" s="41"/>
      <c r="L77" s="43"/>
      <c r="M77" s="41"/>
      <c r="N77" s="40" t="str">
        <f>image("https://i.imgur.com/JDgAgAO.png")</f>
        <v/>
      </c>
      <c r="O77" s="41"/>
      <c r="P77" s="40"/>
      <c r="Q77" s="41"/>
      <c r="R77" s="33"/>
    </row>
    <row r="78" ht="18.75" customHeight="1">
      <c r="A78" s="6"/>
      <c r="B78" s="8" t="s">
        <v>601</v>
      </c>
      <c r="C78" s="10" t="s">
        <v>662</v>
      </c>
      <c r="D78" s="8" t="s">
        <v>665</v>
      </c>
      <c r="E78" s="10" t="s">
        <v>667</v>
      </c>
      <c r="F78" s="8" t="s">
        <v>665</v>
      </c>
      <c r="G78" s="10" t="s">
        <v>669</v>
      </c>
      <c r="H78" s="8" t="s">
        <v>670</v>
      </c>
      <c r="I78" s="10" t="s">
        <v>671</v>
      </c>
      <c r="J78" s="8" t="s">
        <v>670</v>
      </c>
      <c r="K78" s="10" t="s">
        <v>672</v>
      </c>
      <c r="L78" s="8" t="s">
        <v>673</v>
      </c>
      <c r="M78" s="10" t="s">
        <v>674</v>
      </c>
      <c r="N78" s="8" t="s">
        <v>673</v>
      </c>
      <c r="O78" s="10" t="s">
        <v>675</v>
      </c>
      <c r="P78" s="8" t="s">
        <v>676</v>
      </c>
      <c r="Q78" s="10" t="s">
        <v>677</v>
      </c>
      <c r="R78" s="14"/>
    </row>
    <row r="79" ht="26.25" customHeight="1">
      <c r="A79" s="15"/>
      <c r="B79" s="16" t="str">
        <f>image("https://i.imgur.com/NkILW1J.png")</f>
        <v/>
      </c>
      <c r="C79" s="20" t="str">
        <f>image("https://pokejungle.net/sprites/normal/"&amp;B78&amp;"-1.png")</f>
        <v/>
      </c>
      <c r="D79" s="16" t="str">
        <f>image("https://i.imgur.com/NkILW1J.png")</f>
        <v/>
      </c>
      <c r="E79" s="20" t="str">
        <f>image("https://pokejungle.net/sprites/normal/"&amp;D78&amp;".png")</f>
        <v/>
      </c>
      <c r="F79" s="16" t="str">
        <f>image("https://i.imgur.com/NkILW1J.png")</f>
        <v/>
      </c>
      <c r="G79" s="20" t="str">
        <f>image("https://pokejungle.net/sprites/normal/"&amp;F78&amp;"-1.png")</f>
        <v/>
      </c>
      <c r="H79" s="24" t="str">
        <f>image("https://i.imgur.com/XIu6jDl.png")</f>
        <v/>
      </c>
      <c r="I79" s="20" t="str">
        <f>image("https://pokejungle.net/sprites/normal/"&amp;H78&amp;".png")</f>
        <v/>
      </c>
      <c r="J79" s="16" t="str">
        <f>image("https://i.imgur.com/NkILW1J.png")</f>
        <v/>
      </c>
      <c r="K79" s="20" t="str">
        <f>image("https://pokejungle.net/sprites/normal/"&amp;J78&amp;"-1.png")</f>
        <v/>
      </c>
      <c r="L79" s="28" t="str">
        <f>image("https://i.imgur.com/lKAfx6k.png")</f>
        <v/>
      </c>
      <c r="M79" s="20" t="str">
        <f>image("https://pokejungle.net/sprites/normal/"&amp;L78&amp;".png")</f>
        <v/>
      </c>
      <c r="N79" s="16" t="str">
        <f>image("https://i.imgur.com/XI18XGu.png")</f>
        <v/>
      </c>
      <c r="O79" s="20" t="str">
        <f>image("https://pokejungle.net/sprites/normal/"&amp;N78&amp;"-1.png")</f>
        <v/>
      </c>
      <c r="P79" s="16" t="str">
        <f>image("https://i.imgur.com/lKAfx6k.png")</f>
        <v/>
      </c>
      <c r="Q79" s="20" t="str">
        <f>image("https://pokejungle.net/sprites/normal/"&amp;P78&amp;".png")</f>
        <v/>
      </c>
      <c r="R79" s="33"/>
    </row>
    <row r="80" ht="26.25" customHeight="1">
      <c r="A80" s="15"/>
      <c r="B80" s="38" t="str">
        <f>image("https://i.imgur.com/beHgI95.png")</f>
        <v/>
      </c>
      <c r="C80" s="36"/>
      <c r="D80" s="35" t="str">
        <f>image("https://i.imgur.com/lpOVjtL.png")</f>
        <v/>
      </c>
      <c r="E80" s="36"/>
      <c r="F80" s="35" t="str">
        <f>image("https://i.imgur.com/beHgI95.png")</f>
        <v/>
      </c>
      <c r="G80" s="36"/>
      <c r="H80" s="37" t="str">
        <f>image("https://i.imgur.com/lpOVjtL.png")</f>
        <v/>
      </c>
      <c r="I80" s="36"/>
      <c r="J80" s="38" t="str">
        <f>image("https://i.imgur.com/beHgI95.png")</f>
        <v/>
      </c>
      <c r="K80" s="36"/>
      <c r="L80" s="35" t="str">
        <f>image("https://i.imgur.com/RqSOGo6.png")</f>
        <v/>
      </c>
      <c r="M80" s="36"/>
      <c r="N80" s="38" t="str">
        <f>image("https://i.imgur.com/rAI9Gyi.png")</f>
        <v/>
      </c>
      <c r="O80" s="36"/>
      <c r="P80" s="38" t="str">
        <f>image("https://i.imgur.com/RqSOGo6.png")</f>
        <v/>
      </c>
      <c r="Q80" s="36"/>
      <c r="R80" s="33"/>
    </row>
    <row r="81" ht="26.25" customHeight="1">
      <c r="A81" s="15"/>
      <c r="B81" s="40"/>
      <c r="C81" s="41"/>
      <c r="D81" s="40" t="str">
        <f>image("https://i.imgur.com/XIu6jDl.png")</f>
        <v/>
      </c>
      <c r="E81" s="41"/>
      <c r="F81" s="40"/>
      <c r="G81" s="41"/>
      <c r="H81" s="40" t="str">
        <f>image("https://i.imgur.com/NkILW1J.png")</f>
        <v/>
      </c>
      <c r="I81" s="41"/>
      <c r="J81" s="40" t="str">
        <f>image("https://i.imgur.com/EkqYYOB.png")</f>
        <v/>
      </c>
      <c r="K81" s="41"/>
      <c r="L81" s="43"/>
      <c r="M81" s="41"/>
      <c r="N81" s="40" t="str">
        <f t="shared" ref="N81:N82" si="3">image("https://i.imgur.com/0ArMZjJ.png")</f>
        <v/>
      </c>
      <c r="O81" s="41"/>
      <c r="P81" s="40"/>
      <c r="Q81" s="41"/>
      <c r="R81" s="33"/>
    </row>
    <row r="82" ht="26.25" customHeight="1">
      <c r="A82" s="15"/>
      <c r="B82" s="16" t="str">
        <f>image("https://i.imgur.com/RqSOGo6.png")</f>
        <v/>
      </c>
      <c r="C82" s="20" t="str">
        <f>image("https://pokejungle.net/sprites/shiny/"&amp;B78&amp;"-1.png")</f>
        <v/>
      </c>
      <c r="D82" s="16" t="str">
        <f>image("https://i.imgur.com/RqSOGo6.png")</f>
        <v/>
      </c>
      <c r="E82" s="20" t="str">
        <f>image("https://pokejungle.net/sprites/shiny/"&amp;D78&amp;".png")</f>
        <v/>
      </c>
      <c r="F82" s="16" t="str">
        <f>image("https://i.imgur.com/RqSOGo6.png")</f>
        <v/>
      </c>
      <c r="G82" s="20" t="str">
        <f>image("https://pokejungle.net/sprites/shiny/"&amp;F78&amp;"-1.png")</f>
        <v/>
      </c>
      <c r="H82" s="16" t="str">
        <f>image("https://i.imgur.com/RqSOGo6.png")</f>
        <v/>
      </c>
      <c r="I82" s="20" t="str">
        <f>image("https://pokejungle.net/sprites/shiny/"&amp;H78&amp;".png")</f>
        <v/>
      </c>
      <c r="J82" s="16" t="str">
        <f>image("https://i.imgur.com/beHgI95.png")</f>
        <v/>
      </c>
      <c r="K82" s="20" t="str">
        <f>image("https://pokejungle.net/sprites/shiny/"&amp;J78&amp;"-1.png")</f>
        <v/>
      </c>
      <c r="L82" s="16" t="str">
        <f>image("https://i.imgur.com/zpybKax.png")</f>
        <v/>
      </c>
      <c r="M82" s="20" t="str">
        <f>image("https://pokejungle.net/sprites/shiny/"&amp;L78&amp;".png")</f>
        <v/>
      </c>
      <c r="N82" s="16" t="str">
        <f t="shared" si="3"/>
        <v/>
      </c>
      <c r="O82" s="20" t="str">
        <f>image("https://pokejungle.net/sprites/shiny/"&amp;N78&amp;"-1.png")</f>
        <v/>
      </c>
      <c r="P82" s="16" t="str">
        <f>image("https://i.imgur.com/rAI9Gyi.png")</f>
        <v/>
      </c>
      <c r="Q82" s="20" t="str">
        <f>image("https://pokejungle.net/sprites/shiny/"&amp;P78&amp;".png")</f>
        <v/>
      </c>
      <c r="R82" s="33"/>
    </row>
    <row r="83" ht="26.25" customHeight="1">
      <c r="A83" s="15"/>
      <c r="B83" s="38" t="str">
        <f>image("https://i.imgur.com/EkqYYOB.png")</f>
        <v/>
      </c>
      <c r="C83" s="36"/>
      <c r="D83" s="46" t="str">
        <f>image("https://i.imgur.com/lpOVjtL.png")</f>
        <v/>
      </c>
      <c r="E83" s="36"/>
      <c r="F83" s="35" t="str">
        <f>image("https://i.imgur.com/EkqYYOB.png")</f>
        <v/>
      </c>
      <c r="G83" s="36"/>
      <c r="H83" s="46" t="str">
        <f>image("https://i.imgur.com/lpOVjtL.png")</f>
        <v/>
      </c>
      <c r="I83" s="36"/>
      <c r="J83" s="38" t="str">
        <f>image("https://i.imgur.com/EkqYYOB.png")</f>
        <v/>
      </c>
      <c r="K83" s="36"/>
      <c r="L83" s="46" t="str">
        <f>image("https://i.imgur.com/SF5CZ6U.png")</f>
        <v/>
      </c>
      <c r="M83" s="36"/>
      <c r="N83" s="38" t="str">
        <f>image("https://i.imgur.com/XNzvO0H.png")</f>
        <v/>
      </c>
      <c r="O83" s="36"/>
      <c r="P83" s="38" t="str">
        <f>image("https://i.imgur.com/XI18XGu.png")</f>
        <v/>
      </c>
      <c r="Q83" s="36"/>
      <c r="R83" s="33"/>
    </row>
    <row r="84" ht="26.25" customHeight="1">
      <c r="A84" s="15"/>
      <c r="B84" s="40"/>
      <c r="C84" s="41"/>
      <c r="D84" s="43"/>
      <c r="E84" s="41"/>
      <c r="F84" s="40"/>
      <c r="G84" s="41"/>
      <c r="H84" s="43"/>
      <c r="I84" s="41"/>
      <c r="J84" s="40"/>
      <c r="K84" s="41"/>
      <c r="L84" s="43" t="str">
        <f>image("https://i.imgur.com/XNzvO0H.png")</f>
        <v/>
      </c>
      <c r="M84" s="41"/>
      <c r="N84" s="40" t="str">
        <f>image("https://i.imgur.com/VQL4lPa.png")</f>
        <v/>
      </c>
      <c r="O84" s="41"/>
      <c r="P84" s="40"/>
      <c r="Q84" s="41"/>
      <c r="R84" s="33"/>
    </row>
    <row r="85" ht="18.75" customHeight="1">
      <c r="A85" s="6"/>
      <c r="B85" s="8" t="s">
        <v>676</v>
      </c>
      <c r="C85" s="10" t="s">
        <v>726</v>
      </c>
      <c r="D85" s="8" t="s">
        <v>727</v>
      </c>
      <c r="E85" s="10" t="s">
        <v>728</v>
      </c>
      <c r="F85" s="8" t="s">
        <v>727</v>
      </c>
      <c r="G85" s="10" t="s">
        <v>729</v>
      </c>
      <c r="H85" s="8" t="s">
        <v>730</v>
      </c>
      <c r="I85" s="10" t="s">
        <v>731</v>
      </c>
      <c r="J85" s="8" t="s">
        <v>730</v>
      </c>
      <c r="K85" s="10" t="s">
        <v>732</v>
      </c>
      <c r="L85" s="8" t="s">
        <v>733</v>
      </c>
      <c r="M85" s="10" t="s">
        <v>734</v>
      </c>
      <c r="N85" s="8" t="s">
        <v>735</v>
      </c>
      <c r="O85" s="10" t="s">
        <v>736</v>
      </c>
      <c r="P85" s="8" t="s">
        <v>737</v>
      </c>
      <c r="Q85" s="10" t="s">
        <v>738</v>
      </c>
      <c r="R85" s="14"/>
    </row>
    <row r="86" ht="26.25" customHeight="1">
      <c r="A86" s="15"/>
      <c r="B86" s="16" t="str">
        <f>image("https://i.imgur.com/XI18XGu.png")</f>
        <v/>
      </c>
      <c r="C86" s="20" t="str">
        <f>image("https://pokejungle.net/sprites/normal/"&amp;B85&amp;"-1.png")</f>
        <v/>
      </c>
      <c r="D86" s="16" t="str">
        <f>image("https://i.imgur.com/rAI9Gyi.png")</f>
        <v/>
      </c>
      <c r="E86" s="20" t="str">
        <f>image("https://pokejungle.net/sprites/normal/"&amp;D85&amp;".png")</f>
        <v/>
      </c>
      <c r="F86" s="16" t="str">
        <f>image("https://i.imgur.com/rAI9Gyi.png")</f>
        <v/>
      </c>
      <c r="G86" s="20" t="str">
        <f>image("https://pokejungle.net/sprites/normal/"&amp;F85&amp;"-1.png")</f>
        <v/>
      </c>
      <c r="H86" s="24" t="str">
        <f>image("https://i.imgur.com/rAI9Gyi.png")</f>
        <v/>
      </c>
      <c r="I86" s="20" t="str">
        <f>image("https://pokejungle.net/sprites/normal/"&amp;H85&amp;".png")</f>
        <v/>
      </c>
      <c r="J86" s="16" t="str">
        <f>image("https://i.imgur.com/XI18XGu.png")</f>
        <v/>
      </c>
      <c r="K86" s="20" t="str">
        <f>image("https://pokejungle.net/sprites/normal/"&amp;J85&amp;"-1.png")</f>
        <v/>
      </c>
      <c r="L86" s="28" t="str">
        <f>image("https://i.imgur.com/SF5CZ6U.png")</f>
        <v/>
      </c>
      <c r="M86" s="20" t="str">
        <f>image("https://pokejungle.net/sprites/normal/"&amp;L85&amp;".png")</f>
        <v/>
      </c>
      <c r="N86" s="16" t="str">
        <f>image("https://i.imgur.com/SF5CZ6U.png")</f>
        <v/>
      </c>
      <c r="O86" s="20" t="str">
        <f>image("https://pokejungle.net/sprites/normal/"&amp;N85&amp;".png")</f>
        <v/>
      </c>
      <c r="P86" s="16" t="str">
        <f>image("https://i.imgur.com/XIu6jDl.png")</f>
        <v/>
      </c>
      <c r="Q86" s="20" t="str">
        <f>image("https://pokejungle.net/sprites/normal/"&amp;P85&amp;".png")</f>
        <v/>
      </c>
      <c r="R86" s="33"/>
    </row>
    <row r="87" ht="26.25" customHeight="1">
      <c r="A87" s="15"/>
      <c r="B87" s="38" t="str">
        <f>image("https://i.imgur.com/rAI9Gyi.png")</f>
        <v/>
      </c>
      <c r="C87" s="36"/>
      <c r="D87" s="35" t="str">
        <f>image("https://i.imgur.com/XI18XGu.png")</f>
        <v/>
      </c>
      <c r="E87" s="36"/>
      <c r="F87" s="35"/>
      <c r="G87" s="36"/>
      <c r="H87" s="37" t="str">
        <f>image("https://i.imgur.com/XI18XGu.png")</f>
        <v/>
      </c>
      <c r="I87" s="36"/>
      <c r="J87" s="38" t="str">
        <f>image("https://i.imgur.com/rAI9Gyi.png")</f>
        <v/>
      </c>
      <c r="K87" s="36"/>
      <c r="L87" s="35" t="str">
        <f>image("https://i.imgur.com/NkILW1J.png")</f>
        <v/>
      </c>
      <c r="M87" s="36"/>
      <c r="N87" s="38" t="str">
        <f>image("https://i.imgur.com/NkILW1J.png")</f>
        <v/>
      </c>
      <c r="O87" s="36"/>
      <c r="P87" s="38" t="str">
        <f>image("https://i.imgur.com/lpOVjtL.png")</f>
        <v/>
      </c>
      <c r="Q87" s="36"/>
      <c r="R87" s="33"/>
    </row>
    <row r="88" ht="26.25" customHeight="1">
      <c r="A88" s="15"/>
      <c r="B88" s="40" t="str">
        <f t="shared" ref="B88:B89" si="4">image("https://i.imgur.com/0ArMZjJ.png")</f>
        <v/>
      </c>
      <c r="C88" s="41"/>
      <c r="D88" s="40" t="str">
        <f t="shared" ref="D88:D89" si="5">image("https://i.imgur.com/a9HBljD.png")</f>
        <v/>
      </c>
      <c r="E88" s="41"/>
      <c r="F88" s="40"/>
      <c r="G88" s="41"/>
      <c r="H88" s="40" t="str">
        <f>image("https://i.imgur.com/a9HBljD.png")</f>
        <v/>
      </c>
      <c r="I88" s="41"/>
      <c r="J88" s="40"/>
      <c r="K88" s="41"/>
      <c r="L88" s="43"/>
      <c r="M88" s="41"/>
      <c r="N88" s="40"/>
      <c r="O88" s="41"/>
      <c r="P88" s="40"/>
      <c r="Q88" s="41"/>
      <c r="R88" s="33"/>
    </row>
    <row r="89" ht="26.25" customHeight="1">
      <c r="A89" s="15"/>
      <c r="B89" s="16" t="str">
        <f t="shared" si="4"/>
        <v/>
      </c>
      <c r="C89" s="20" t="str">
        <f>image("https://pokejungle.net/sprites/shiny/"&amp;B85&amp;"-1.png")</f>
        <v/>
      </c>
      <c r="D89" s="16" t="str">
        <f t="shared" si="5"/>
        <v/>
      </c>
      <c r="E89" s="20" t="str">
        <f>image("https://pokejungle.net/sprites/shiny/"&amp;D85&amp;".png")</f>
        <v/>
      </c>
      <c r="F89" s="16" t="str">
        <f>image("https://i.imgur.com/zpybKax.png")</f>
        <v/>
      </c>
      <c r="G89" s="20" t="str">
        <f>image("https://pokejungle.net/sprites/shiny/"&amp;F85&amp;"-1.png")</f>
        <v/>
      </c>
      <c r="H89" s="16" t="str">
        <f>image("https://i.imgur.com/rAI9Gyi.png")</f>
        <v/>
      </c>
      <c r="I89" s="20" t="str">
        <f>image("https://pokejungle.net/sprites/shiny/"&amp;H85&amp;".png")</f>
        <v/>
      </c>
      <c r="J89" s="16" t="str">
        <f>image("https://i.imgur.com/rAI9Gyi.png")</f>
        <v/>
      </c>
      <c r="K89" s="20" t="str">
        <f>image("https://pokejungle.net/sprites/shiny/"&amp;J85&amp;"-1.png")</f>
        <v/>
      </c>
      <c r="L89" s="16" t="str">
        <f>image("https://i.imgur.com/EkqYYOB.png")</f>
        <v/>
      </c>
      <c r="M89" s="20" t="str">
        <f>image("https://pokejungle.net/sprites/shiny/"&amp;L85&amp;".png")</f>
        <v/>
      </c>
      <c r="N89" s="16" t="str">
        <f>image("https://i.imgur.com/EkqYYOB.png")</f>
        <v/>
      </c>
      <c r="O89" s="20" t="str">
        <f>image("https://pokejungle.net/sprites/shiny/"&amp;N85&amp;".png")</f>
        <v/>
      </c>
      <c r="P89" s="16" t="str">
        <f>image("https://i.imgur.com/XIu6jDl.png")</f>
        <v/>
      </c>
      <c r="Q89" s="20" t="str">
        <f>image("https://pokejungle.net/sprites/shiny/"&amp;P85&amp;".png")</f>
        <v/>
      </c>
      <c r="R89" s="33"/>
    </row>
    <row r="90" ht="26.25" customHeight="1">
      <c r="A90" s="15"/>
      <c r="B90" s="38" t="str">
        <f>image("https://i.imgur.com/XNzvO0H.png")</f>
        <v/>
      </c>
      <c r="C90" s="36"/>
      <c r="D90" s="46" t="str">
        <f>image("https://i.imgur.com/XI18XGu.png")</f>
        <v/>
      </c>
      <c r="E90" s="36"/>
      <c r="F90" s="35" t="str">
        <f>image("https://i.imgur.com/rJhTvoD.png")</f>
        <v/>
      </c>
      <c r="G90" s="36"/>
      <c r="H90" s="46" t="str">
        <f>image("https://i.imgur.com/XI18XGu.png")</f>
        <v/>
      </c>
      <c r="I90" s="36"/>
      <c r="J90" s="38" t="str">
        <f>image("https://i.imgur.com/zpybKax.png")</f>
        <v/>
      </c>
      <c r="K90" s="36"/>
      <c r="L90" s="46"/>
      <c r="M90" s="36"/>
      <c r="N90" s="38"/>
      <c r="O90" s="36"/>
      <c r="P90" s="38" t="str">
        <f>image("https://i.imgur.com/lpOVjtL.png")</f>
        <v/>
      </c>
      <c r="Q90" s="36"/>
      <c r="R90" s="33"/>
    </row>
    <row r="91" ht="26.25" customHeight="1">
      <c r="A91" s="15"/>
      <c r="B91" s="40" t="str">
        <f>image("https://i.imgur.com/VQL4lPa.png")</f>
        <v/>
      </c>
      <c r="C91" s="41"/>
      <c r="D91" s="43" t="str">
        <f>image("https://i.imgur.com/0ArMZjJ.png")</f>
        <v/>
      </c>
      <c r="E91" s="41"/>
      <c r="F91" s="40" t="str">
        <f>image("https://i.imgur.com/beHgI95.png")</f>
        <v/>
      </c>
      <c r="G91" s="41"/>
      <c r="H91" s="43"/>
      <c r="I91" s="41"/>
      <c r="J91" s="40"/>
      <c r="K91" s="41"/>
      <c r="L91" s="43"/>
      <c r="M91" s="41"/>
      <c r="N91" s="40"/>
      <c r="O91" s="41"/>
      <c r="P91" s="40"/>
      <c r="Q91" s="41"/>
      <c r="R91" s="33"/>
    </row>
    <row r="92" ht="18.75" customHeight="1">
      <c r="A92" s="6"/>
      <c r="B92" s="8" t="s">
        <v>737</v>
      </c>
      <c r="C92" s="10" t="s">
        <v>766</v>
      </c>
      <c r="D92" s="8" t="s">
        <v>767</v>
      </c>
      <c r="E92" s="10" t="s">
        <v>769</v>
      </c>
      <c r="F92" s="8" t="s">
        <v>773</v>
      </c>
      <c r="G92" s="10" t="s">
        <v>775</v>
      </c>
      <c r="H92" s="8" t="s">
        <v>776</v>
      </c>
      <c r="I92" s="10" t="s">
        <v>777</v>
      </c>
      <c r="J92" s="8" t="s">
        <v>778</v>
      </c>
      <c r="K92" s="10" t="s">
        <v>779</v>
      </c>
      <c r="L92" s="8" t="s">
        <v>780</v>
      </c>
      <c r="M92" s="10" t="s">
        <v>781</v>
      </c>
      <c r="N92" s="8" t="s">
        <v>780</v>
      </c>
      <c r="O92" s="10" t="s">
        <v>782</v>
      </c>
      <c r="P92" s="8" t="s">
        <v>783</v>
      </c>
      <c r="Q92" s="10" t="s">
        <v>784</v>
      </c>
      <c r="R92" s="14"/>
    </row>
    <row r="93" ht="26.25" customHeight="1">
      <c r="A93" s="15"/>
      <c r="B93" s="16" t="str">
        <f>image("https://i.imgur.com/XIu6jDl.png")</f>
        <v/>
      </c>
      <c r="C93" s="20" t="str">
        <f>image("https://pokejungle.net/sprites/normal/"&amp;B92&amp;"-1.png")</f>
        <v/>
      </c>
      <c r="D93" s="16" t="str">
        <f>image("https://i.imgur.com/XIu6jDl.png")</f>
        <v/>
      </c>
      <c r="E93" s="20" t="str">
        <f>image("https://pokejungle.net/sprites/normal/"&amp;D92&amp;"-f.png")</f>
        <v/>
      </c>
      <c r="F93" s="16" t="str">
        <f>image("https://i.imgur.com/XIu6jDl.png")</f>
        <v/>
      </c>
      <c r="G93" s="20" t="str">
        <f>image("https://pokejungle.net/sprites/normal/"&amp;F92&amp;"-f.png")</f>
        <v/>
      </c>
      <c r="H93" s="24" t="str">
        <f>image("https://i.imgur.com/0ArMZjJ.png")</f>
        <v/>
      </c>
      <c r="I93" s="20" t="str">
        <f>image("https://pokejungle.net/sprites/normal/"&amp;H92&amp;".png")</f>
        <v/>
      </c>
      <c r="J93" s="16" t="str">
        <f>image("https://i.imgur.com/0ArMZjJ.png")</f>
        <v/>
      </c>
      <c r="K93" s="20" t="str">
        <f>image("https://pokejungle.net/sprites/normal/"&amp;J92&amp;".png")</f>
        <v/>
      </c>
      <c r="L93" s="28" t="str">
        <f>image("https://i.imgur.com/XI18XGu.png")</f>
        <v/>
      </c>
      <c r="M93" s="20" t="str">
        <f>image("https://pokejungle.net/sprites/normal/"&amp;L92&amp;".png")</f>
        <v/>
      </c>
      <c r="N93" s="16" t="str">
        <f>image("https://i.imgur.com/VQL4lPa.png")</f>
        <v/>
      </c>
      <c r="O93" s="20" t="str">
        <f>image("https://pokejungle.net/sprites/normal/"&amp;N92&amp;"-1.png")</f>
        <v/>
      </c>
      <c r="P93" s="16" t="str">
        <f>image("https://i.imgur.com/XI18XGu.png")</f>
        <v/>
      </c>
      <c r="Q93" s="20" t="str">
        <f>image("https://pokejungle.net/sprites/normal/"&amp;P92&amp;".png")</f>
        <v/>
      </c>
      <c r="R93" s="33"/>
    </row>
    <row r="94" ht="26.25" customHeight="1">
      <c r="A94" s="15"/>
      <c r="B94" s="38" t="str">
        <f>image("https://i.imgur.com/lpOVjtL.png")</f>
        <v/>
      </c>
      <c r="C94" s="36"/>
      <c r="D94" s="35" t="str">
        <f>image("https://i.imgur.com/lpOVjtL.png")</f>
        <v/>
      </c>
      <c r="E94" s="36"/>
      <c r="F94" s="35" t="str">
        <f>image("https://i.imgur.com/lpOVjtL.png")</f>
        <v/>
      </c>
      <c r="G94" s="36"/>
      <c r="H94" s="37"/>
      <c r="I94" s="36"/>
      <c r="J94" s="38"/>
      <c r="K94" s="36"/>
      <c r="L94" s="35" t="str">
        <f>image("https://i.imgur.com/nNTmuH8.png")</f>
        <v/>
      </c>
      <c r="M94" s="36"/>
      <c r="N94" s="38" t="str">
        <f>image("https://i.imgur.com/XIu6jDl.png")</f>
        <v/>
      </c>
      <c r="O94" s="36"/>
      <c r="P94" s="38" t="str">
        <f>image("https://i.imgur.com/nNTmuH8.png")</f>
        <v/>
      </c>
      <c r="Q94" s="36"/>
      <c r="R94" s="33"/>
    </row>
    <row r="95" ht="26.25" customHeight="1">
      <c r="A95" s="15"/>
      <c r="B95" s="40"/>
      <c r="C95" s="41"/>
      <c r="D95" s="40"/>
      <c r="E95" s="41"/>
      <c r="F95" s="40" t="str">
        <f>image("https://i.imgur.com/JOd7Boe.png")</f>
        <v/>
      </c>
      <c r="G95" s="41"/>
      <c r="H95" s="40"/>
      <c r="I95" s="41"/>
      <c r="J95" s="40"/>
      <c r="K95" s="41"/>
      <c r="L95" s="43" t="str">
        <f>image("https://i.imgur.com/N2Wqr43.png")</f>
        <v/>
      </c>
      <c r="M95" s="41"/>
      <c r="N95" s="40"/>
      <c r="O95" s="41"/>
      <c r="P95" s="40" t="str">
        <f>image("https://i.imgur.com/N2Wqr43.png")</f>
        <v/>
      </c>
      <c r="Q95" s="41"/>
      <c r="R95" s="33"/>
    </row>
    <row r="96" ht="26.25" customHeight="1">
      <c r="A96" s="15"/>
      <c r="B96" s="16" t="str">
        <f>image("https://i.imgur.com/XIu6jDl.png")</f>
        <v/>
      </c>
      <c r="C96" s="20" t="str">
        <f>image("https://pokejungle.net/sprites/shiny/"&amp;B92&amp;"-1.png")</f>
        <v/>
      </c>
      <c r="D96" s="16" t="str">
        <f>image("https://i.imgur.com/XIu6jDl.png")</f>
        <v/>
      </c>
      <c r="E96" s="20" t="str">
        <f>image("https://pokejungle.net/sprites/shiny/"&amp;D92&amp;".png")</f>
        <v/>
      </c>
      <c r="F96" s="16" t="str">
        <f>image("https://i.imgur.com/XIu6jDl.png")</f>
        <v/>
      </c>
      <c r="G96" s="20" t="str">
        <f>image("https://pokejungle.net/sprites/shiny/"&amp;F92&amp;".png")</f>
        <v/>
      </c>
      <c r="H96" s="16" t="str">
        <f>image("https://i.imgur.com/0ArMZjJ.png")</f>
        <v/>
      </c>
      <c r="I96" s="20" t="str">
        <f>image("https://pokejungle.net/sprites/shiny/"&amp;H92&amp;".png")</f>
        <v/>
      </c>
      <c r="J96" s="16" t="str">
        <f>image("https://i.imgur.com/0ArMZjJ.png")</f>
        <v/>
      </c>
      <c r="K96" s="20" t="str">
        <f>image("https://pokejungle.net/sprites/shiny/"&amp;J92&amp;".png")</f>
        <v/>
      </c>
      <c r="L96" s="16" t="str">
        <f>image("https://i.imgur.com/XIu6jDl.png")</f>
        <v/>
      </c>
      <c r="M96" s="20" t="str">
        <f>image("https://pokejungle.net/sprites/shiny/"&amp;L92&amp;".png")</f>
        <v/>
      </c>
      <c r="N96" s="16" t="str">
        <f>image("https://i.imgur.com/rAI9Gyi.png")</f>
        <v/>
      </c>
      <c r="O96" s="20" t="str">
        <f>image("https://pokejungle.net/sprites/shiny/"&amp;N92&amp;"-1.png")</f>
        <v/>
      </c>
      <c r="P96" s="16" t="str">
        <f>image("https://i.imgur.com/XIu6jDl.png")</f>
        <v/>
      </c>
      <c r="Q96" s="20" t="str">
        <f>image("https://pokejungle.net/sprites/shiny/"&amp;P92&amp;".png")</f>
        <v/>
      </c>
      <c r="R96" s="33"/>
    </row>
    <row r="97" ht="26.25" customHeight="1">
      <c r="A97" s="15"/>
      <c r="B97" s="38" t="str">
        <f>image("https://i.imgur.com/lpOVjtL.png")</f>
        <v/>
      </c>
      <c r="C97" s="36"/>
      <c r="D97" s="46" t="str">
        <f>image("https://i.imgur.com/lpOVjtL.png")</f>
        <v/>
      </c>
      <c r="E97" s="36"/>
      <c r="F97" s="35" t="str">
        <f>image("https://i.imgur.com/lpOVjtL.png")</f>
        <v/>
      </c>
      <c r="G97" s="36"/>
      <c r="H97" s="46"/>
      <c r="I97" s="36"/>
      <c r="J97" s="38"/>
      <c r="K97" s="36"/>
      <c r="L97" s="46" t="str">
        <f>image("https://i.imgur.com/VQL4lPa.png")</f>
        <v/>
      </c>
      <c r="M97" s="36"/>
      <c r="N97" s="38" t="str">
        <f>image("https://i.imgur.com/XI18XGu.png")</f>
        <v/>
      </c>
      <c r="O97" s="36"/>
      <c r="P97" s="38" t="str">
        <f>image("https://i.imgur.com/VQL4lPa.png")</f>
        <v/>
      </c>
      <c r="Q97" s="36"/>
      <c r="R97" s="33"/>
    </row>
    <row r="98" ht="26.25" customHeight="1">
      <c r="A98" s="15"/>
      <c r="B98" s="40"/>
      <c r="C98" s="41"/>
      <c r="D98" s="43" t="str">
        <f>image("https://i.imgur.com/beHgI95.png")</f>
        <v/>
      </c>
      <c r="E98" s="41"/>
      <c r="F98" s="40" t="str">
        <f>image("https://i.imgur.com/beHgI95.png")</f>
        <v/>
      </c>
      <c r="G98" s="41"/>
      <c r="H98" s="43"/>
      <c r="I98" s="41"/>
      <c r="J98" s="40"/>
      <c r="K98" s="41"/>
      <c r="L98" s="43" t="str">
        <f>image("https://i.imgur.com/N2Wqr43.png")</f>
        <v/>
      </c>
      <c r="M98" s="41"/>
      <c r="N98" s="40" t="str">
        <f>image("https://i.imgur.com/nNTmuH8.png")</f>
        <v/>
      </c>
      <c r="O98" s="41"/>
      <c r="P98" s="40" t="str">
        <f>image("https://i.imgur.com/N2Wqr43.png")</f>
        <v/>
      </c>
      <c r="Q98" s="41"/>
      <c r="R98" s="33"/>
    </row>
    <row r="99" ht="18.75" customHeight="1">
      <c r="A99" s="6"/>
      <c r="B99" s="8" t="s">
        <v>783</v>
      </c>
      <c r="C99" s="10" t="s">
        <v>817</v>
      </c>
      <c r="D99" s="8" t="s">
        <v>818</v>
      </c>
      <c r="E99" s="10" t="s">
        <v>819</v>
      </c>
      <c r="F99" s="8" t="s">
        <v>820</v>
      </c>
      <c r="G99" s="10" t="s">
        <v>821</v>
      </c>
      <c r="H99" s="8" t="s">
        <v>822</v>
      </c>
      <c r="I99" s="10" t="s">
        <v>823</v>
      </c>
      <c r="J99" s="8" t="s">
        <v>824</v>
      </c>
      <c r="K99" s="10" t="s">
        <v>825</v>
      </c>
      <c r="L99" s="8" t="s">
        <v>827</v>
      </c>
      <c r="M99" s="10" t="s">
        <v>829</v>
      </c>
      <c r="N99" s="8" t="s">
        <v>831</v>
      </c>
      <c r="O99" s="10" t="s">
        <v>833</v>
      </c>
      <c r="P99" s="8" t="s">
        <v>835</v>
      </c>
      <c r="Q99" s="10" t="s">
        <v>837</v>
      </c>
      <c r="R99" s="14"/>
    </row>
    <row r="100" ht="26.25" customHeight="1">
      <c r="A100" s="15"/>
      <c r="B100" s="16" t="str">
        <f>image("https://i.imgur.com/rAI9Gyi.png")</f>
        <v/>
      </c>
      <c r="C100" s="20" t="str">
        <f>image("https://pokejungle.net/sprites/normal/"&amp;B99&amp;"-1.png")</f>
        <v/>
      </c>
      <c r="D100" s="16" t="str">
        <f>image("https://i.imgur.com/XI18XGu.png")</f>
        <v/>
      </c>
      <c r="E100" s="20" t="str">
        <f>image("https://pokejungle.net/sprites/normal/"&amp;D99&amp;".png")</f>
        <v/>
      </c>
      <c r="F100" s="16" t="str">
        <f>image("https://i.imgur.com/XI18XGu.png")</f>
        <v/>
      </c>
      <c r="G100" s="20" t="str">
        <f>image("https://pokejungle.net/sprites/normal/"&amp;F99&amp;".png")</f>
        <v/>
      </c>
      <c r="H100" s="24" t="str">
        <f>image("https://i.imgur.com/XI18XGu.png")</f>
        <v/>
      </c>
      <c r="I100" s="20" t="str">
        <f>image("https://pokejungle.net/sprites/normal/"&amp;H99&amp;".png")</f>
        <v/>
      </c>
      <c r="J100" s="16" t="str">
        <f>image("https://i.imgur.com/XI18XGu.png")</f>
        <v/>
      </c>
      <c r="K100" s="20" t="str">
        <f>image("https://pokejungle.net/sprites/normal/"&amp;J99&amp;".png")</f>
        <v/>
      </c>
      <c r="L100" s="28" t="str">
        <f>image("https://i.imgur.com/XI18XGu.png")</f>
        <v/>
      </c>
      <c r="M100" s="20" t="str">
        <f>image("https://pokejungle.net/sprites/normal/"&amp;L99&amp;".png")</f>
        <v/>
      </c>
      <c r="N100" s="16" t="str">
        <f>image("https://i.imgur.com/NkILW1J.png")</f>
        <v/>
      </c>
      <c r="O100" s="20" t="str">
        <f>image("https://pokejungle.net/sprites/normal/"&amp;N99&amp;".png")</f>
        <v/>
      </c>
      <c r="P100" s="16" t="str">
        <f>image("https://i.imgur.com/beHgI95.png")</f>
        <v/>
      </c>
      <c r="Q100" s="20" t="str">
        <f>image("https://pokejungle.net/sprites/normal/"&amp;P99&amp;".png")</f>
        <v/>
      </c>
      <c r="R100" s="33"/>
    </row>
    <row r="101" ht="26.25" customHeight="1">
      <c r="A101" s="15"/>
      <c r="B101" s="38" t="str">
        <f>image("https://i.imgur.com/N2Wqr43.png")</f>
        <v/>
      </c>
      <c r="C101" s="36"/>
      <c r="D101" s="35" t="str">
        <f>image("https://i.imgur.com/JOd7Boe.png")</f>
        <v/>
      </c>
      <c r="E101" s="36"/>
      <c r="F101" s="35" t="str">
        <f>image("https://i.imgur.com/NkILW1J.png")</f>
        <v/>
      </c>
      <c r="G101" s="36"/>
      <c r="H101" s="37" t="str">
        <f>image("https://i.imgur.com/N2Wqr43.png")</f>
        <v/>
      </c>
      <c r="I101" s="36"/>
      <c r="J101" s="38" t="str">
        <f>image("https://i.imgur.com/N2Wqr43.png")</f>
        <v/>
      </c>
      <c r="K101" s="36"/>
      <c r="L101" s="35" t="str">
        <f>image("https://i.imgur.com/N2Wqr43.png")</f>
        <v/>
      </c>
      <c r="M101" s="36"/>
      <c r="N101" s="38" t="str">
        <f>image("https://i.imgur.com/beHgI95.png")</f>
        <v/>
      </c>
      <c r="O101" s="36"/>
      <c r="P101" s="38"/>
      <c r="Q101" s="36"/>
      <c r="R101" s="33"/>
    </row>
    <row r="102" ht="26.25" customHeight="1">
      <c r="A102" s="15"/>
      <c r="B102" s="40"/>
      <c r="C102" s="41"/>
      <c r="D102" s="40" t="str">
        <f>image("https://i.imgur.com/N2Wqr43.png")</f>
        <v/>
      </c>
      <c r="E102" s="41"/>
      <c r="F102" s="40" t="str">
        <f>image("https://i.imgur.com/N2Wqr43.png")</f>
        <v/>
      </c>
      <c r="G102" s="41"/>
      <c r="H102" s="43" t="str">
        <f>image("https://i.imgur.com/nNTmuH8.png")</f>
        <v/>
      </c>
      <c r="I102" s="41"/>
      <c r="J102" s="43" t="str">
        <f>image("https://i.imgur.com/nNTmuH8.png")</f>
        <v/>
      </c>
      <c r="K102" s="41"/>
      <c r="L102" s="43" t="str">
        <f>image("https://i.imgur.com/nNTmuH8.png")</f>
        <v/>
      </c>
      <c r="M102" s="41"/>
      <c r="N102" s="40"/>
      <c r="O102" s="41"/>
      <c r="P102" s="40"/>
      <c r="Q102" s="41"/>
      <c r="R102" s="33"/>
    </row>
    <row r="103" ht="26.25" customHeight="1">
      <c r="A103" s="15"/>
      <c r="B103" s="16" t="str">
        <f>image("https://i.imgur.com/rAI9Gyi.png")</f>
        <v/>
      </c>
      <c r="C103" s="20" t="str">
        <f>image("https://pokejungle.net/sprites/shiny/"&amp;B99&amp;"-1.png")</f>
        <v/>
      </c>
      <c r="D103" s="16" t="str">
        <f>image("https://i.imgur.com/RqSOGo6.png")</f>
        <v/>
      </c>
      <c r="E103" s="20" t="str">
        <f>image("https://pokejungle.net/sprites/shiny/"&amp;D99&amp;".png")</f>
        <v/>
      </c>
      <c r="F103" s="16" t="str">
        <f>image("https://i.imgur.com/XNzvO0H.png")</f>
        <v/>
      </c>
      <c r="G103" s="20" t="str">
        <f>image("https://pokejungle.net/sprites/shiny/"&amp;F99&amp;".png")</f>
        <v/>
      </c>
      <c r="H103" s="16" t="str">
        <f>image("https://i.imgur.com/XI18XGu.png")</f>
        <v/>
      </c>
      <c r="I103" s="20" t="str">
        <f>image("https://pokejungle.net/sprites/shiny/"&amp;H99&amp;".png")</f>
        <v/>
      </c>
      <c r="J103" s="16" t="str">
        <f>image("https://i.imgur.com/XI18XGu.png")</f>
        <v/>
      </c>
      <c r="K103" s="20" t="str">
        <f>image("https://pokejungle.net/sprites/shiny/"&amp;J99&amp;".png")</f>
        <v/>
      </c>
      <c r="L103" s="16" t="str">
        <f>image("https://i.imgur.com/XI18XGu.png")</f>
        <v/>
      </c>
      <c r="M103" s="20" t="str">
        <f>image("https://pokejungle.net/sprites/shiny/"&amp;L99&amp;".png")</f>
        <v/>
      </c>
      <c r="N103" s="16" t="str">
        <f>image("https://i.imgur.com/XIu6jDl.png")</f>
        <v/>
      </c>
      <c r="O103" s="20" t="str">
        <f>image("https://pokejungle.net/sprites/shiny/"&amp;N99&amp;".png")</f>
        <v/>
      </c>
      <c r="P103" s="16" t="str">
        <f>image("https://i.imgur.com/XI18XGu.png")</f>
        <v/>
      </c>
      <c r="Q103" s="20" t="str">
        <f>image("https://pokejungle.net/sprites/shiny/"&amp;P99&amp;".png")</f>
        <v/>
      </c>
      <c r="R103" s="33"/>
    </row>
    <row r="104" ht="26.25" customHeight="1">
      <c r="A104" s="15"/>
      <c r="B104" s="38" t="str">
        <f>image("https://i.imgur.com/XI18XGu.png")</f>
        <v/>
      </c>
      <c r="C104" s="36"/>
      <c r="D104" s="46" t="str">
        <f>image("https://i.imgur.com/rJhTvoD.png")</f>
        <v/>
      </c>
      <c r="E104" s="36"/>
      <c r="F104" s="35" t="str">
        <f>image("https://i.imgur.com/SF5CZ6U.png")</f>
        <v/>
      </c>
      <c r="G104" s="36"/>
      <c r="H104" s="46" t="str">
        <f>image("https://i.imgur.com/N2Wqr43.png")</f>
        <v/>
      </c>
      <c r="I104" s="36"/>
      <c r="J104" s="38" t="str">
        <f>image("https://i.imgur.com/N2Wqr43.png")</f>
        <v/>
      </c>
      <c r="K104" s="36"/>
      <c r="L104" s="46" t="str">
        <f>image("https://i.imgur.com/N2Wqr43.png")</f>
        <v/>
      </c>
      <c r="M104" s="36"/>
      <c r="N104" s="38" t="str">
        <f>image("https://i.imgur.com/lpOVjtL.png")</f>
        <v/>
      </c>
      <c r="O104" s="36"/>
      <c r="P104" s="38" t="str">
        <f>image("https://i.imgur.com/a9HBljD.png")</f>
        <v/>
      </c>
      <c r="Q104" s="36"/>
      <c r="R104" s="33"/>
    </row>
    <row r="105" ht="26.25" customHeight="1">
      <c r="A105" s="15"/>
      <c r="B105" s="40"/>
      <c r="C105" s="41"/>
      <c r="D105" s="43"/>
      <c r="E105" s="41"/>
      <c r="F105" s="40" t="str">
        <f>image("https://i.imgur.com/NkILW1J.png")</f>
        <v/>
      </c>
      <c r="G105" s="41"/>
      <c r="H105" s="43"/>
      <c r="I105" s="41"/>
      <c r="J105" s="40"/>
      <c r="K105" s="41"/>
      <c r="L105" s="43"/>
      <c r="M105" s="41"/>
      <c r="N105" s="40" t="str">
        <f>image("https://i.imgur.com/EkqYYOB.png")</f>
        <v/>
      </c>
      <c r="O105" s="41"/>
      <c r="P105" s="40" t="str">
        <f>image("https://i.imgur.com/rAI9Gyi.png")</f>
        <v/>
      </c>
      <c r="Q105" s="41"/>
      <c r="R105" s="33"/>
    </row>
    <row r="106" ht="18.75" customHeight="1">
      <c r="A106" s="6"/>
      <c r="B106" s="8" t="s">
        <v>884</v>
      </c>
      <c r="C106" s="10" t="s">
        <v>885</v>
      </c>
      <c r="D106" s="8" t="s">
        <v>886</v>
      </c>
      <c r="E106" s="10" t="s">
        <v>887</v>
      </c>
      <c r="F106" s="8" t="s">
        <v>888</v>
      </c>
      <c r="G106" s="10" t="s">
        <v>889</v>
      </c>
      <c r="H106" s="8" t="s">
        <v>890</v>
      </c>
      <c r="I106" s="10" t="s">
        <v>891</v>
      </c>
      <c r="J106" s="8" t="s">
        <v>890</v>
      </c>
      <c r="K106" s="10" t="s">
        <v>892</v>
      </c>
      <c r="L106" s="8" t="s">
        <v>893</v>
      </c>
      <c r="M106" s="10" t="s">
        <v>894</v>
      </c>
      <c r="N106" s="8" t="s">
        <v>893</v>
      </c>
      <c r="O106" s="10" t="s">
        <v>895</v>
      </c>
      <c r="P106" s="8" t="s">
        <v>896</v>
      </c>
      <c r="Q106" s="10" t="s">
        <v>897</v>
      </c>
      <c r="R106" s="14"/>
    </row>
    <row r="107" ht="26.25" customHeight="1">
      <c r="A107" s="15"/>
      <c r="B107" s="16" t="str">
        <f>image("https://i.imgur.com/beHgI95.png")</f>
        <v/>
      </c>
      <c r="C107" s="20" t="str">
        <f>image("https://pokejungle.net/sprites/normal/"&amp;B106&amp;".png")</f>
        <v/>
      </c>
      <c r="D107" s="16" t="str">
        <f>image("https://i.imgur.com/RqSOGo6.png")</f>
        <v/>
      </c>
      <c r="E107" s="20" t="str">
        <f>image("https://pokejungle.net/sprites/normal/"&amp;D106&amp;".png")</f>
        <v/>
      </c>
      <c r="F107" s="16" t="str">
        <f>image("https://i.imgur.com/RqSOGo6.png")</f>
        <v/>
      </c>
      <c r="G107" s="20" t="str">
        <f>image("https://pokejungle.net/sprites/normal/"&amp;F106&amp;".png")</f>
        <v/>
      </c>
      <c r="H107" s="24" t="str">
        <f>image("https://i.imgur.com/bxys1sd.png")</f>
        <v/>
      </c>
      <c r="I107" s="20" t="str">
        <f>image("https://pokejungle.net/sprites/normal/"&amp;H106&amp;".png")</f>
        <v/>
      </c>
      <c r="J107" s="16" t="str">
        <f>image("https://i.imgur.com/bxys1sd.png")</f>
        <v/>
      </c>
      <c r="K107" s="20" t="str">
        <f>image("https://pokejungle.net/sprites/normal/"&amp;J106&amp;"-1.png")</f>
        <v/>
      </c>
      <c r="L107" s="28" t="str">
        <f>image("https://i.imgur.com/bxys1sd.png")</f>
        <v/>
      </c>
      <c r="M107" s="20" t="str">
        <f>image("https://pokejungle.net/sprites/normal/"&amp;L106&amp;".png")</f>
        <v/>
      </c>
      <c r="N107" s="16" t="str">
        <f>image("https://i.imgur.com/bxys1sd.png")</f>
        <v/>
      </c>
      <c r="O107" s="20" t="str">
        <f>image("https://pokejungle.net/sprites/normal/"&amp;N106&amp;"-1.png")</f>
        <v/>
      </c>
      <c r="P107" s="16" t="str">
        <f>image("https://i.imgur.com/rAI9Gyi.png")</f>
        <v/>
      </c>
      <c r="Q107" s="20" t="str">
        <f>image("https://pokejungle.net/sprites/normal/"&amp;P106&amp;".png")</f>
        <v/>
      </c>
      <c r="R107" s="33"/>
    </row>
    <row r="108" ht="26.25" customHeight="1">
      <c r="A108" s="15"/>
      <c r="B108" s="38"/>
      <c r="C108" s="36"/>
      <c r="D108" s="35" t="str">
        <f>image("https://i.imgur.com/bxys1sd.png")</f>
        <v/>
      </c>
      <c r="E108" s="36"/>
      <c r="F108" s="35" t="str">
        <f>image("https://i.imgur.com/bxys1sd.png")</f>
        <v/>
      </c>
      <c r="G108" s="36"/>
      <c r="H108" s="37" t="str">
        <f>image("https://i.imgur.com/GyNf8BH.png")</f>
        <v/>
      </c>
      <c r="I108" s="36"/>
      <c r="J108" s="37" t="str">
        <f>image("https://i.imgur.com/GyNf8BH.png")</f>
        <v/>
      </c>
      <c r="K108" s="36"/>
      <c r="L108" s="35" t="str">
        <f>image("https://i.imgur.com/GyNf8BH.png")</f>
        <v/>
      </c>
      <c r="M108" s="36"/>
      <c r="N108" s="37" t="str">
        <f>image("https://i.imgur.com/GyNf8BH.png")</f>
        <v/>
      </c>
      <c r="O108" s="36"/>
      <c r="P108" s="38" t="str">
        <f>image("https://i.imgur.com/a9HBljD.png")</f>
        <v/>
      </c>
      <c r="Q108" s="36"/>
      <c r="R108" s="33"/>
    </row>
    <row r="109" ht="26.25" customHeight="1">
      <c r="A109" s="15"/>
      <c r="B109" s="40"/>
      <c r="C109" s="41"/>
      <c r="D109" s="40"/>
      <c r="E109" s="41"/>
      <c r="F109" s="40"/>
      <c r="G109" s="41"/>
      <c r="H109" s="40"/>
      <c r="I109" s="41"/>
      <c r="J109" s="40"/>
      <c r="K109" s="41"/>
      <c r="L109" s="43"/>
      <c r="M109" s="41"/>
      <c r="N109" s="40"/>
      <c r="O109" s="41"/>
      <c r="P109" s="40"/>
      <c r="Q109" s="41"/>
      <c r="R109" s="33"/>
    </row>
    <row r="110" ht="26.25" customHeight="1">
      <c r="A110" s="15"/>
      <c r="B110" s="16" t="str">
        <f>image("https://i.imgur.com/XI18XGu.png")</f>
        <v/>
      </c>
      <c r="C110" s="20" t="str">
        <f>image("https://pokejungle.net/sprites/shiny/"&amp;B106&amp;"-f.png")</f>
        <v/>
      </c>
      <c r="D110" s="16" t="str">
        <f>image("https://i.imgur.com/rJhTvoD.png")</f>
        <v/>
      </c>
      <c r="E110" s="20" t="str">
        <f>image("https://pokejungle.net/sprites/shiny/"&amp;D106&amp;".png")</f>
        <v/>
      </c>
      <c r="F110" s="16" t="str">
        <f>image("https://i.imgur.com/XIu6jDl.png")</f>
        <v/>
      </c>
      <c r="G110" s="20" t="str">
        <f>image("https://pokejungle.net/sprites/shiny/"&amp;F106&amp;".png")</f>
        <v/>
      </c>
      <c r="H110" s="16" t="str">
        <f>image("https://i.imgur.com/SF5CZ6U.png")</f>
        <v/>
      </c>
      <c r="I110" s="20" t="str">
        <f>image("https://pokejungle.net/sprites/shiny/"&amp;H106&amp;".png")</f>
        <v/>
      </c>
      <c r="J110" s="16" t="str">
        <f>image("https://i.imgur.com/beHgI95.png")</f>
        <v/>
      </c>
      <c r="K110" s="20" t="str">
        <f>image("https://pokejungle.net/sprites/shiny/"&amp;J106&amp;"-1.png")</f>
        <v/>
      </c>
      <c r="L110" s="16" t="str">
        <f>image("https://i.imgur.com/SF5CZ6U.png")</f>
        <v/>
      </c>
      <c r="M110" s="20" t="str">
        <f>image("https://pokejungle.net/sprites/shiny/"&amp;L106&amp;".png")</f>
        <v/>
      </c>
      <c r="N110" s="16" t="str">
        <f>image("https://i.imgur.com/beHgI95.png")</f>
        <v/>
      </c>
      <c r="O110" s="20" t="str">
        <f>image("https://pokejungle.net/sprites/shiny/"&amp;N106&amp;"-1.png")</f>
        <v/>
      </c>
      <c r="P110" s="16" t="str">
        <f>image("https://i.imgur.com/EkqYYOB.png")</f>
        <v/>
      </c>
      <c r="Q110" s="20" t="str">
        <f>image("https://pokejungle.net/sprites/shiny/"&amp;P106&amp;".png")</f>
        <v/>
      </c>
      <c r="R110" s="33"/>
    </row>
    <row r="111" ht="26.25" customHeight="1">
      <c r="A111" s="15"/>
      <c r="B111" s="38" t="str">
        <f>image("https://i.imgur.com/a9HBljD.png")</f>
        <v/>
      </c>
      <c r="C111" s="36"/>
      <c r="D111" s="46" t="str">
        <f>image("https://i.imgur.com/beHgI95.png")</f>
        <v/>
      </c>
      <c r="E111" s="36"/>
      <c r="F111" s="35" t="str">
        <f>image("https://i.imgur.com/VQL4lPa.png")</f>
        <v/>
      </c>
      <c r="G111" s="36"/>
      <c r="H111" s="46" t="str">
        <f>image("https://i.imgur.com/XNzvO0H.png")</f>
        <v/>
      </c>
      <c r="I111" s="36"/>
      <c r="J111" s="38"/>
      <c r="K111" s="36"/>
      <c r="L111" s="46" t="str">
        <f>image("https://i.imgur.com/XNzvO0H.png")</f>
        <v/>
      </c>
      <c r="M111" s="36"/>
      <c r="N111" s="38"/>
      <c r="O111" s="36"/>
      <c r="P111" s="38" t="str">
        <f>image("https://i.imgur.com/rJhTvoD.png")</f>
        <v/>
      </c>
      <c r="Q111" s="36"/>
      <c r="R111" s="33"/>
    </row>
    <row r="112" ht="26.25" customHeight="1">
      <c r="A112" s="15"/>
      <c r="B112" s="40" t="str">
        <f>image("https://i.imgur.com/rAI9Gyi.png")</f>
        <v/>
      </c>
      <c r="C112" s="41"/>
      <c r="D112" s="43"/>
      <c r="E112" s="41"/>
      <c r="F112" s="40"/>
      <c r="G112" s="41"/>
      <c r="H112" s="43"/>
      <c r="I112" s="41"/>
      <c r="J112" s="40"/>
      <c r="K112" s="41"/>
      <c r="L112" s="43"/>
      <c r="M112" s="41"/>
      <c r="N112" s="40"/>
      <c r="O112" s="41"/>
      <c r="P112" s="40"/>
      <c r="Q112" s="41"/>
      <c r="R112" s="33"/>
    </row>
    <row r="113" ht="18.75" customHeight="1">
      <c r="A113" s="6"/>
      <c r="B113" s="8" t="s">
        <v>919</v>
      </c>
      <c r="C113" s="10" t="s">
        <v>920</v>
      </c>
      <c r="D113" s="8" t="s">
        <v>919</v>
      </c>
      <c r="E113" s="10" t="s">
        <v>921</v>
      </c>
      <c r="F113" s="8" t="s">
        <v>922</v>
      </c>
      <c r="G113" s="10" t="s">
        <v>923</v>
      </c>
      <c r="H113" s="8" t="s">
        <v>924</v>
      </c>
      <c r="I113" s="10" t="s">
        <v>925</v>
      </c>
      <c r="J113" s="8" t="s">
        <v>924</v>
      </c>
      <c r="K113" s="10" t="s">
        <v>926</v>
      </c>
      <c r="L113" s="8" t="s">
        <v>927</v>
      </c>
      <c r="M113" s="10" t="s">
        <v>928</v>
      </c>
      <c r="N113" s="8" t="s">
        <v>929</v>
      </c>
      <c r="O113" s="10" t="s">
        <v>930</v>
      </c>
      <c r="P113" s="8" t="s">
        <v>931</v>
      </c>
      <c r="Q113" s="10" t="s">
        <v>932</v>
      </c>
      <c r="R113" s="14"/>
    </row>
    <row r="114" ht="26.25" customHeight="1">
      <c r="A114" s="15"/>
      <c r="B114" s="16" t="str">
        <f>image("https://i.imgur.com/XIu6jDl.png")</f>
        <v/>
      </c>
      <c r="C114" s="20" t="str">
        <f>image("https://pokejungle.net/sprites/normal/"&amp;B113&amp;".png")</f>
        <v/>
      </c>
      <c r="D114" s="16" t="str">
        <f>image("https://i.imgur.com/XIu6jDl.png")</f>
        <v/>
      </c>
      <c r="E114" s="20" t="str">
        <f>image("https://pokejungle.net/sprites/normal/"&amp;D113&amp;"-1.png")</f>
        <v/>
      </c>
      <c r="F114" s="16" t="str">
        <f>image("https://i.imgur.com/XIu6jDl.png")</f>
        <v/>
      </c>
      <c r="G114" s="20" t="str">
        <f>image("https://pokejungle.net/sprites/normal/"&amp;F113&amp;".png")</f>
        <v/>
      </c>
      <c r="H114" s="24" t="str">
        <f>image("https://i.imgur.com/XIu6jDl.png")</f>
        <v/>
      </c>
      <c r="I114" s="20" t="str">
        <f>image("https://pokejungle.net/sprites/normal/"&amp;H113&amp;".png")</f>
        <v/>
      </c>
      <c r="J114" s="16" t="str">
        <f>image("https://i.imgur.com/N2Wqr43.png")</f>
        <v/>
      </c>
      <c r="K114" s="20" t="str">
        <f>image("https://pokejungle.net/sprites/normal/"&amp;J113&amp;"-1.png")</f>
        <v/>
      </c>
      <c r="L114" s="28" t="str">
        <f>image("https://i.imgur.com/EkqYYOB.png")</f>
        <v/>
      </c>
      <c r="M114" s="20" t="str">
        <f>image("https://pokejungle.net/sprites/normal/"&amp;L113&amp;".png")</f>
        <v/>
      </c>
      <c r="N114" s="16" t="str">
        <f>image("https://i.imgur.com/EkqYYOB.png")</f>
        <v/>
      </c>
      <c r="O114" s="20" t="str">
        <f>image("https://pokejungle.net/sprites/normal/"&amp;N113&amp;".png")</f>
        <v/>
      </c>
      <c r="P114" s="16" t="str">
        <f>image("https://i.imgur.com/rAI9Gyi.png")</f>
        <v/>
      </c>
      <c r="Q114" s="20" t="str">
        <f>image("https://pokejungle.net/sprites/normal/"&amp;P113&amp;".png")</f>
        <v/>
      </c>
      <c r="R114" s="33"/>
    </row>
    <row r="115" ht="26.25" customHeight="1">
      <c r="A115" s="15"/>
      <c r="B115" s="38" t="str">
        <f>image("https://i.imgur.com/lpOVjtL.png")</f>
        <v/>
      </c>
      <c r="C115" s="36"/>
      <c r="D115" s="35" t="str">
        <f>image("https://i.imgur.com/lpOVjtL.png")</f>
        <v/>
      </c>
      <c r="E115" s="36"/>
      <c r="F115" s="35" t="str">
        <f>image("https://i.imgur.com/lpOVjtL.png")</f>
        <v/>
      </c>
      <c r="G115" s="36"/>
      <c r="H115" s="37" t="str">
        <f>image("https://i.imgur.com/lpOVjtL.png")</f>
        <v/>
      </c>
      <c r="I115" s="36"/>
      <c r="J115" s="38"/>
      <c r="K115" s="36"/>
      <c r="L115" s="35" t="str">
        <f>image("https://i.imgur.com/beHgI95.png")</f>
        <v/>
      </c>
      <c r="M115" s="36"/>
      <c r="N115" s="38" t="str">
        <f>image("https://i.imgur.com/beHgI95.png")</f>
        <v/>
      </c>
      <c r="O115" s="36"/>
      <c r="P115" s="38" t="str">
        <f>image("https://i.imgur.com/a9HBljD.png")</f>
        <v/>
      </c>
      <c r="Q115" s="36"/>
      <c r="R115" s="33"/>
    </row>
    <row r="116" ht="26.25" customHeight="1">
      <c r="A116" s="15"/>
      <c r="B116" s="40"/>
      <c r="C116" s="41"/>
      <c r="D116" s="40"/>
      <c r="E116" s="41"/>
      <c r="F116" s="40"/>
      <c r="G116" s="41"/>
      <c r="H116" s="40"/>
      <c r="I116" s="41"/>
      <c r="J116" s="40"/>
      <c r="K116" s="41"/>
      <c r="L116" s="43" t="str">
        <f t="shared" ref="L116:L117" si="6">image("https://i.imgur.com/XIu6jDl.png")</f>
        <v/>
      </c>
      <c r="M116" s="41"/>
      <c r="N116" s="40" t="str">
        <f>image("https://i.imgur.com/XI18XGu.png")</f>
        <v/>
      </c>
      <c r="O116" s="41"/>
      <c r="P116" s="40"/>
      <c r="Q116" s="41"/>
      <c r="R116" s="33"/>
    </row>
    <row r="117" ht="26.25" customHeight="1">
      <c r="A117" s="15"/>
      <c r="B117" s="16" t="str">
        <f>image("https://i.imgur.com/EkqYYOB.png")</f>
        <v/>
      </c>
      <c r="C117" s="20" t="str">
        <f>image("https://pokejungle.net/sprites/shiny/"&amp;B113&amp;".png")</f>
        <v/>
      </c>
      <c r="D117" s="16" t="str">
        <f>image("https://i.imgur.com/EkqYYOB.png")</f>
        <v/>
      </c>
      <c r="E117" s="20" t="str">
        <f>image("https://pokejungle.net/sprites/shiny/"&amp;D113&amp;"-1.png")</f>
        <v/>
      </c>
      <c r="F117" s="16" t="str">
        <f>image("https://i.imgur.com/XIu6jDl.png")</f>
        <v/>
      </c>
      <c r="G117" s="20" t="str">
        <f>image("https://pokejungle.net/sprites/shiny/"&amp;F113&amp;".png")</f>
        <v/>
      </c>
      <c r="H117" s="16" t="str">
        <f>image("https://i.imgur.com/XIu6jDl.png")</f>
        <v/>
      </c>
      <c r="I117" s="20" t="str">
        <f>image("https://pokejungle.net/sprites/shiny/"&amp;H113&amp;".png")</f>
        <v/>
      </c>
      <c r="J117" s="16" t="str">
        <f>image("https://i.imgur.com/N2Wqr43.png")</f>
        <v/>
      </c>
      <c r="K117" s="20" t="str">
        <f>image("https://pokejungle.net/sprites/shiny/"&amp;J113&amp;"-1.png")</f>
        <v/>
      </c>
      <c r="L117" s="16" t="str">
        <f t="shared" si="6"/>
        <v/>
      </c>
      <c r="M117" s="20" t="str">
        <f>image("https://pokejungle.net/sprites/shiny/"&amp;L113&amp;".png")</f>
        <v/>
      </c>
      <c r="N117" s="16" t="str">
        <f>image("https://i.imgur.com/SF5CZ6U.png")</f>
        <v/>
      </c>
      <c r="O117" s="20" t="str">
        <f>image("https://pokejungle.net/sprites/shiny/"&amp;N113&amp;".png")</f>
        <v/>
      </c>
      <c r="P117" s="16" t="str">
        <f>image("https://i.imgur.com/rAI9Gyi.png")</f>
        <v/>
      </c>
      <c r="Q117" s="20" t="str">
        <f>image("https://pokejungle.net/sprites/shiny/"&amp;P113&amp;".png")</f>
        <v/>
      </c>
      <c r="R117" s="33"/>
    </row>
    <row r="118" ht="26.25" customHeight="1">
      <c r="A118" s="15"/>
      <c r="B118" s="38" t="str">
        <f>image("https://i.imgur.com/rJhTvoD.png")</f>
        <v/>
      </c>
      <c r="C118" s="36"/>
      <c r="D118" s="46" t="str">
        <f>image("https://i.imgur.com/rJhTvoD.png")</f>
        <v/>
      </c>
      <c r="E118" s="36"/>
      <c r="F118" s="35" t="str">
        <f>image("https://i.imgur.com/lpOVjtL.png")</f>
        <v/>
      </c>
      <c r="G118" s="36"/>
      <c r="H118" s="46" t="str">
        <f>image("https://i.imgur.com/lpOVjtL.png")</f>
        <v/>
      </c>
      <c r="I118" s="36"/>
      <c r="J118" s="38" t="str">
        <f>image("https://i.imgur.com/JDgAgAO.png")</f>
        <v/>
      </c>
      <c r="K118" s="36"/>
      <c r="L118" s="46" t="str">
        <f>image("https://i.imgur.com/lpOVjtL.png")</f>
        <v/>
      </c>
      <c r="M118" s="36"/>
      <c r="N118" s="38" t="str">
        <f>image("https://i.imgur.com/XIu6jDl.png")</f>
        <v/>
      </c>
      <c r="O118" s="36"/>
      <c r="P118" s="38" t="str">
        <f>image("https://i.imgur.com/EkqYYOB.png")</f>
        <v/>
      </c>
      <c r="Q118" s="36"/>
      <c r="R118" s="33"/>
    </row>
    <row r="119" ht="26.25" customHeight="1">
      <c r="A119" s="15"/>
      <c r="B119" s="40"/>
      <c r="C119" s="41"/>
      <c r="D119" s="43"/>
      <c r="E119" s="41"/>
      <c r="F119" s="40"/>
      <c r="G119" s="41"/>
      <c r="H119" s="43"/>
      <c r="I119" s="41"/>
      <c r="J119" s="40"/>
      <c r="K119" s="41"/>
      <c r="L119" s="43"/>
      <c r="M119" s="41"/>
      <c r="N119" s="40" t="str">
        <f>image("https://i.imgur.com/lpOVjtL.png")</f>
        <v/>
      </c>
      <c r="O119" s="41"/>
      <c r="P119" s="40"/>
      <c r="Q119" s="41"/>
      <c r="R119" s="33"/>
    </row>
    <row r="120" ht="18.75" customHeight="1">
      <c r="A120" s="6"/>
      <c r="B120" s="8" t="s">
        <v>949</v>
      </c>
      <c r="C120" s="10" t="s">
        <v>950</v>
      </c>
      <c r="D120" s="8" t="s">
        <v>951</v>
      </c>
      <c r="E120" s="10" t="s">
        <v>952</v>
      </c>
      <c r="F120" s="8" t="s">
        <v>951</v>
      </c>
      <c r="G120" s="10" t="s">
        <v>953</v>
      </c>
      <c r="H120" s="8" t="s">
        <v>955</v>
      </c>
      <c r="I120" s="10" t="s">
        <v>957</v>
      </c>
      <c r="J120" s="8" t="s">
        <v>959</v>
      </c>
      <c r="K120" s="10" t="s">
        <v>962</v>
      </c>
      <c r="L120" s="8" t="s">
        <v>963</v>
      </c>
      <c r="M120" s="10" t="s">
        <v>966</v>
      </c>
      <c r="N120" s="8" t="s">
        <v>969</v>
      </c>
      <c r="O120" s="10" t="s">
        <v>971</v>
      </c>
      <c r="P120" s="8" t="s">
        <v>974</v>
      </c>
      <c r="Q120" s="10" t="s">
        <v>976</v>
      </c>
      <c r="R120" s="14"/>
    </row>
    <row r="121" ht="26.25" customHeight="1">
      <c r="A121" s="15"/>
      <c r="B121" s="16" t="str">
        <f>image("https://i.imgur.com/XI18XGu.png")</f>
        <v/>
      </c>
      <c r="C121" s="20" t="str">
        <f>image("https://pokejungle.net/sprites/normal/"&amp;B120&amp;".png")</f>
        <v/>
      </c>
      <c r="D121" s="16" t="str">
        <f>image("https://i.imgur.com/XI18XGu.png")</f>
        <v/>
      </c>
      <c r="E121" s="20" t="str">
        <f>image("https://pokejungle.net/sprites/normal/"&amp;D120&amp;".png")</f>
        <v/>
      </c>
      <c r="F121" s="16" t="str">
        <f>image("https://i.imgur.com/N2Wqr43.png")</f>
        <v/>
      </c>
      <c r="G121" s="20" t="str">
        <f>image("https://pokejungle.net/sprites/normal/"&amp;F120&amp;"-1.png")</f>
        <v/>
      </c>
      <c r="H121" s="24" t="str">
        <f>image("https://i.imgur.com/NkILW1J.png")</f>
        <v/>
      </c>
      <c r="I121" s="20" t="str">
        <f>image("https://pokejungle.net/sprites/normal/"&amp;H120&amp;"-f.png")</f>
        <v/>
      </c>
      <c r="J121" s="16" t="str">
        <f>image("https://i.imgur.com/NkILW1J.png")</f>
        <v/>
      </c>
      <c r="K121" s="20" t="str">
        <f>image("https://pokejungle.net/sprites/normal/"&amp;J120&amp;"-f.png")</f>
        <v/>
      </c>
      <c r="L121" s="28" t="str">
        <f>image("https://i.imgur.com/a9HBljD.png")</f>
        <v/>
      </c>
      <c r="M121" s="20" t="str">
        <f>image("https://pokejungle.net/sprites/normal/"&amp;L120&amp;".png")</f>
        <v/>
      </c>
      <c r="N121" s="16" t="str">
        <f>image("https://i.imgur.com/SF5CZ6U.png")</f>
        <v/>
      </c>
      <c r="O121" s="20" t="str">
        <f>image("https://pokejungle.net/sprites/normal/"&amp;N120&amp;".png")</f>
        <v/>
      </c>
      <c r="P121" s="16" t="str">
        <f>image("https://i.imgur.com/lpOVjtL.png")</f>
        <v/>
      </c>
      <c r="Q121" s="20" t="str">
        <f>image("https://pokejungle.net/sprites/normal/"&amp;P120&amp;".png")</f>
        <v/>
      </c>
      <c r="R121" s="33"/>
    </row>
    <row r="122" ht="26.25" customHeight="1">
      <c r="A122" s="15"/>
      <c r="B122" s="38" t="str">
        <f>image("https://i.imgur.com/N2Wqr43.png")</f>
        <v/>
      </c>
      <c r="C122" s="36"/>
      <c r="D122" s="35" t="str">
        <f>image("https://i.imgur.com/N2Wqr43.png")</f>
        <v/>
      </c>
      <c r="E122" s="36"/>
      <c r="F122" s="35"/>
      <c r="G122" s="36"/>
      <c r="H122" s="37" t="str">
        <f>image("https://i.imgur.com/JOd7Boe.png")</f>
        <v/>
      </c>
      <c r="I122" s="36"/>
      <c r="J122" s="38" t="str">
        <f>image("https://i.imgur.com/JOd7Boe.png")</f>
        <v/>
      </c>
      <c r="K122" s="36"/>
      <c r="L122" s="35" t="str">
        <f>image("https://i.imgur.com/rAI9Gyi.png")</f>
        <v/>
      </c>
      <c r="M122" s="36"/>
      <c r="N122" s="38" t="str">
        <f>image("https://i.imgur.com/XzidFHI.png")</f>
        <v/>
      </c>
      <c r="O122" s="36"/>
      <c r="P122" s="38" t="str">
        <f>image("https://i.imgur.com/XIu6jDl.png")</f>
        <v/>
      </c>
      <c r="Q122" s="36"/>
      <c r="R122" s="33"/>
    </row>
    <row r="123" ht="26.25" customHeight="1">
      <c r="A123" s="15"/>
      <c r="B123" s="40" t="str">
        <f>image("https://i.imgur.com/nNTmuH8.png")</f>
        <v/>
      </c>
      <c r="C123" s="41"/>
      <c r="D123" s="40" t="str">
        <f>image("https://i.imgur.com/nNTmuH8.png")</f>
        <v/>
      </c>
      <c r="E123" s="41"/>
      <c r="F123" s="40"/>
      <c r="G123" s="41"/>
      <c r="H123" s="40"/>
      <c r="I123" s="41"/>
      <c r="J123" s="40"/>
      <c r="K123" s="41"/>
      <c r="L123" s="43"/>
      <c r="M123" s="41"/>
      <c r="N123" s="40" t="str">
        <f>image("https://i.imgur.com/ef1o2lD.png")</f>
        <v/>
      </c>
      <c r="O123" s="41"/>
      <c r="P123" s="40" t="str">
        <f>image("https://i.imgur.com/beHgI95.png")</f>
        <v/>
      </c>
      <c r="Q123" s="41"/>
      <c r="R123" s="33"/>
    </row>
    <row r="124" ht="26.25" customHeight="1">
      <c r="A124" s="15"/>
      <c r="B124" s="16" t="str">
        <f>image("https://i.imgur.com/XI18XGu.png")</f>
        <v/>
      </c>
      <c r="C124" s="20" t="str">
        <f>image("https://pokejungle.net/sprites/shiny/"&amp;B120&amp;".png")</f>
        <v/>
      </c>
      <c r="D124" s="16" t="str">
        <f>image("https://i.imgur.com/XI18XGu.png")</f>
        <v/>
      </c>
      <c r="E124" s="20" t="str">
        <f>image("https://pokejungle.net/sprites/shiny/"&amp;D120&amp;".png")</f>
        <v/>
      </c>
      <c r="F124" s="16" t="str">
        <f>image("https://i.imgur.com/XIu6jDl.png")</f>
        <v/>
      </c>
      <c r="G124" s="20" t="str">
        <f>image("https://pokejungle.net/sprites/shiny/"&amp;F120&amp;"-1.png")</f>
        <v/>
      </c>
      <c r="H124" s="16" t="str">
        <f>image("https://i.imgur.com/rJhTvoD.png")</f>
        <v/>
      </c>
      <c r="I124" s="20" t="str">
        <f>image("https://pokejungle.net/sprites/shiny/"&amp;H120&amp;".png")</f>
        <v/>
      </c>
      <c r="J124" s="16" t="str">
        <f>image("https://i.imgur.com/rJhTvoD.png")</f>
        <v/>
      </c>
      <c r="K124" s="20" t="str">
        <f>image("https://pokejungle.net/sprites/shiny/"&amp;J120&amp;".png")</f>
        <v/>
      </c>
      <c r="L124" s="16" t="str">
        <f>image("https://i.imgur.com/XIu6jDl.png")</f>
        <v/>
      </c>
      <c r="M124" s="20" t="str">
        <f>image("https://pokejungle.net/sprites/shiny/"&amp;L120&amp;".png")</f>
        <v/>
      </c>
      <c r="N124" s="16" t="str">
        <f>image("https://i.imgur.com/VQL4lPa.png")</f>
        <v/>
      </c>
      <c r="O124" s="20" t="str">
        <f>image("https://pokejungle.net/sprites/shiny/"&amp;N120&amp;".png")</f>
        <v/>
      </c>
      <c r="P124" s="16" t="str">
        <f>image("https://i.imgur.com/lpOVjtL.png")</f>
        <v/>
      </c>
      <c r="Q124" s="20" t="str">
        <f>image("https://pokejungle.net/sprites/shiny/"&amp;P120&amp;".png")</f>
        <v/>
      </c>
      <c r="R124" s="33"/>
    </row>
    <row r="125" ht="26.25" customHeight="1">
      <c r="A125" s="15"/>
      <c r="B125" s="38" t="str">
        <f>image("https://i.imgur.com/N2Wqr43.png")</f>
        <v/>
      </c>
      <c r="C125" s="36"/>
      <c r="D125" s="46" t="str">
        <f>image("https://i.imgur.com/N2Wqr43.png")</f>
        <v/>
      </c>
      <c r="E125" s="36"/>
      <c r="F125" s="46" t="str">
        <f>image("https://i.imgur.com/lpOVjtL.png")</f>
        <v/>
      </c>
      <c r="G125" s="36"/>
      <c r="H125" s="46" t="str">
        <f>image("https://i.imgur.com/EkqYYOB.png")</f>
        <v/>
      </c>
      <c r="I125" s="36"/>
      <c r="J125" s="38" t="str">
        <f>image("https://i.imgur.com/EkqYYOB.png")</f>
        <v/>
      </c>
      <c r="K125" s="36"/>
      <c r="L125" s="46" t="str">
        <f>image("https://i.imgur.com/VQL4lPa.png")</f>
        <v/>
      </c>
      <c r="M125" s="36"/>
      <c r="N125" s="38" t="str">
        <f>image("https://i.imgur.com/N2Wqr43.png")</f>
        <v/>
      </c>
      <c r="O125" s="36"/>
      <c r="P125" s="38" t="str">
        <f>image("https://i.imgur.com/XIu6jDl.png")</f>
        <v/>
      </c>
      <c r="Q125" s="36"/>
      <c r="R125" s="33"/>
    </row>
    <row r="126" ht="26.25" customHeight="1">
      <c r="A126" s="15"/>
      <c r="B126" s="40" t="str">
        <f>image("https://i.imgur.com/nNTmuH8.png")</f>
        <v/>
      </c>
      <c r="C126" s="41"/>
      <c r="D126" s="43" t="str">
        <f>image("https://i.imgur.com/nNTmuH8.png")</f>
        <v/>
      </c>
      <c r="E126" s="41"/>
      <c r="F126" s="40"/>
      <c r="G126" s="41"/>
      <c r="H126" s="43"/>
      <c r="I126" s="41"/>
      <c r="J126" s="40"/>
      <c r="K126" s="41"/>
      <c r="L126" s="43"/>
      <c r="M126" s="41"/>
      <c r="N126" s="40" t="str">
        <f>image("https://i.imgur.com/XIu6jDl.png")</f>
        <v/>
      </c>
      <c r="O126" s="41"/>
      <c r="P126" s="40" t="str">
        <f>image("https://i.imgur.com/beHgI95.png")</f>
        <v/>
      </c>
      <c r="Q126" s="41"/>
      <c r="R126" s="33"/>
    </row>
    <row r="127" ht="18.75" customHeight="1">
      <c r="A127" s="6"/>
      <c r="B127" s="8" t="s">
        <v>1017</v>
      </c>
      <c r="C127" s="10" t="s">
        <v>1019</v>
      </c>
      <c r="D127" s="8" t="s">
        <v>1021</v>
      </c>
      <c r="E127" s="10" t="s">
        <v>1022</v>
      </c>
      <c r="F127" s="8" t="s">
        <v>1024</v>
      </c>
      <c r="G127" s="10" t="s">
        <v>1025</v>
      </c>
      <c r="H127" s="8" t="s">
        <v>1027</v>
      </c>
      <c r="I127" s="10" t="s">
        <v>1028</v>
      </c>
      <c r="J127" s="8" t="s">
        <v>1030</v>
      </c>
      <c r="K127" s="10" t="s">
        <v>1032</v>
      </c>
      <c r="L127" s="8" t="s">
        <v>1033</v>
      </c>
      <c r="M127" s="10" t="s">
        <v>1035</v>
      </c>
      <c r="N127" s="8" t="s">
        <v>1036</v>
      </c>
      <c r="O127" s="10" t="s">
        <v>1038</v>
      </c>
      <c r="P127" s="8" t="s">
        <v>1036</v>
      </c>
      <c r="Q127" s="10" t="s">
        <v>1040</v>
      </c>
      <c r="R127" s="14"/>
    </row>
    <row r="128" ht="26.25" customHeight="1">
      <c r="A128" s="15"/>
      <c r="B128" s="16" t="str">
        <f>image("https://i.imgur.com/XNzvO0H.png")</f>
        <v/>
      </c>
      <c r="C128" s="20" t="str">
        <f>image("https://pokejungle.net/sprites/normal/"&amp;B127&amp;".png")</f>
        <v/>
      </c>
      <c r="D128" s="16" t="str">
        <f>image("https://i.imgur.com/XNzvO0H.png")</f>
        <v/>
      </c>
      <c r="E128" s="20" t="str">
        <f>image("https://pokejungle.net/sprites/normal/"&amp;D127&amp;".png")</f>
        <v/>
      </c>
      <c r="F128" s="16" t="str">
        <f>image("https://i.imgur.com/JOd7Boe.png")</f>
        <v/>
      </c>
      <c r="G128" s="20" t="str">
        <f>image("https://pokejungle.net/sprites/normal/"&amp;F127&amp;".png")</f>
        <v/>
      </c>
      <c r="H128" s="24" t="str">
        <f>image("https://i.imgur.com/JOd7Boe.png")</f>
        <v/>
      </c>
      <c r="I128" s="20" t="str">
        <f>image("https://pokejungle.net/sprites/normal/"&amp;H127&amp;".png")</f>
        <v/>
      </c>
      <c r="J128" s="16" t="str">
        <f>image("https://i.imgur.com/EkqYYOB.png")</f>
        <v/>
      </c>
      <c r="K128" s="20" t="str">
        <f>image("https://pokejungle.net/sprites/normal/"&amp;J127&amp;".png")</f>
        <v/>
      </c>
      <c r="L128" s="28" t="str">
        <f>image("https://i.imgur.com/rAI9Gyi.png")</f>
        <v/>
      </c>
      <c r="M128" s="20" t="str">
        <f>image("https://pokejungle.net/sprites/normal/"&amp;L127&amp;".png")</f>
        <v/>
      </c>
      <c r="N128" s="16" t="str">
        <f>image("https://i.imgur.com/rAI9Gyi.png")</f>
        <v/>
      </c>
      <c r="O128" s="20" t="str">
        <f>image("https://pokejungle.net/sprites/normal/"&amp;N127&amp;".png")</f>
        <v/>
      </c>
      <c r="P128" s="16" t="str">
        <f>image("https://i.imgur.com/XNzvO0H.png")</f>
        <v/>
      </c>
      <c r="Q128" s="20" t="str">
        <f>image("https://pokejungle.net/sprites/normal/"&amp;P127&amp;"-1.png")</f>
        <v/>
      </c>
      <c r="R128" s="33"/>
    </row>
    <row r="129" ht="26.25" customHeight="1">
      <c r="A129" s="15"/>
      <c r="B129" s="38"/>
      <c r="C129" s="36"/>
      <c r="D129" s="35"/>
      <c r="E129" s="36"/>
      <c r="F129" s="35"/>
      <c r="G129" s="36"/>
      <c r="H129" s="37"/>
      <c r="I129" s="36"/>
      <c r="J129" s="38" t="str">
        <f>image("https://i.imgur.com/rJhTvoD.png")</f>
        <v/>
      </c>
      <c r="K129" s="36"/>
      <c r="L129" s="38" t="str">
        <f>image("https://i.imgur.com/EkqYYOB.png")</f>
        <v/>
      </c>
      <c r="M129" s="36"/>
      <c r="N129" s="38" t="str">
        <f>image("https://i.imgur.com/XI18XGu.png")</f>
        <v/>
      </c>
      <c r="O129" s="36"/>
      <c r="P129" s="38" t="str">
        <f>image("https://i.imgur.com/XzidFHI.png")</f>
        <v/>
      </c>
      <c r="Q129" s="36"/>
      <c r="R129" s="33"/>
    </row>
    <row r="130" ht="26.25" customHeight="1">
      <c r="A130" s="15"/>
      <c r="B130" s="40"/>
      <c r="C130" s="41"/>
      <c r="D130" s="40"/>
      <c r="E130" s="41"/>
      <c r="F130" s="40"/>
      <c r="G130" s="41"/>
      <c r="H130" s="40"/>
      <c r="I130" s="41"/>
      <c r="J130" s="40"/>
      <c r="K130" s="41"/>
      <c r="L130" s="43" t="str">
        <f>image("https://i.imgur.com/rJhTvoD.png")</f>
        <v/>
      </c>
      <c r="M130" s="41"/>
      <c r="N130" s="40" t="str">
        <f>image("https://i.imgur.com/0ArMZjJ.png")</f>
        <v/>
      </c>
      <c r="O130" s="41"/>
      <c r="P130" s="40" t="str">
        <f>image("https://i.imgur.com/JDgAgAO.png")</f>
        <v/>
      </c>
      <c r="Q130" s="41"/>
      <c r="R130" s="33"/>
    </row>
    <row r="131" ht="26.25" customHeight="1">
      <c r="A131" s="15"/>
      <c r="B131" s="16" t="str">
        <f>image("https://i.imgur.com/XzidFHI.png")</f>
        <v/>
      </c>
      <c r="C131" s="20" t="str">
        <f>image("https://pokejungle.net/sprites/shiny/"&amp;B127&amp;".png")</f>
        <v/>
      </c>
      <c r="D131" s="16" t="str">
        <f>image("https://i.imgur.com/XI18XGu.png")</f>
        <v/>
      </c>
      <c r="E131" s="20" t="str">
        <f>image("https://pokejungle.net/sprites/shiny/"&amp;D127&amp;".png")</f>
        <v/>
      </c>
      <c r="F131" s="16" t="str">
        <f>image("https://i.imgur.com/RqSOGo6.png")</f>
        <v/>
      </c>
      <c r="G131" s="20" t="str">
        <f>image("https://pokejungle.net/sprites/shiny/"&amp;F127&amp;"-f.png")</f>
        <v/>
      </c>
      <c r="H131" s="16" t="str">
        <f>image("https://i.imgur.com/RqSOGo6.png")</f>
        <v/>
      </c>
      <c r="I131" s="20" t="str">
        <f>image("https://pokejungle.net/sprites/shiny/"&amp;H127&amp;"-f.png")</f>
        <v/>
      </c>
      <c r="J131" s="16" t="str">
        <f>image("https://i.imgur.com/zpybKax.png")</f>
        <v/>
      </c>
      <c r="K131" s="20" t="str">
        <f>image("https://pokejungle.net/sprites/shiny/"&amp;J127&amp;".png")</f>
        <v/>
      </c>
      <c r="L131" s="16" t="str">
        <f>image("https://i.imgur.com/ef1o2lD.png")</f>
        <v/>
      </c>
      <c r="M131" s="20" t="str">
        <f>image("https://pokejungle.net/sprites/shiny/"&amp;L127&amp;".png")</f>
        <v/>
      </c>
      <c r="N131" s="16" t="str">
        <f>image("https://i.imgur.com/XIu6jDl.png")</f>
        <v/>
      </c>
      <c r="O131" s="20" t="str">
        <f>image("https://pokejungle.net/sprites/shiny/"&amp;N127&amp;".png")</f>
        <v/>
      </c>
      <c r="P131" s="16" t="str">
        <f>image("https://i.imgur.com/XNzvO0H.png")</f>
        <v/>
      </c>
      <c r="Q131" s="20" t="str">
        <f>image("https://pokejungle.net/sprites/shiny/"&amp;P127&amp;"-1.png")</f>
        <v/>
      </c>
      <c r="R131" s="33"/>
    </row>
    <row r="132" ht="26.25" customHeight="1">
      <c r="A132" s="15"/>
      <c r="B132" s="38"/>
      <c r="C132" s="36"/>
      <c r="D132" s="46" t="str">
        <f>image("https://i.imgur.com/SF5CZ6U.png")</f>
        <v/>
      </c>
      <c r="E132" s="36"/>
      <c r="F132" s="35" t="str">
        <f>image("https://i.imgur.com/rJhTvoD.png")</f>
        <v/>
      </c>
      <c r="G132" s="36"/>
      <c r="H132" s="46" t="str">
        <f>image("https://i.imgur.com/rJhTvoD.png")</f>
        <v/>
      </c>
      <c r="I132" s="36"/>
      <c r="J132" s="38" t="str">
        <f>image("https://i.imgur.com/0ArMZjJ.png")</f>
        <v/>
      </c>
      <c r="K132" s="36"/>
      <c r="L132" s="46" t="str">
        <f>image("https://i.imgur.com/SF5CZ6U.png")</f>
        <v/>
      </c>
      <c r="M132" s="36"/>
      <c r="N132" s="38" t="str">
        <f>image("https://i.imgur.com/VQL4lPa.png")</f>
        <v/>
      </c>
      <c r="O132" s="36"/>
      <c r="P132" s="38" t="str">
        <f>image("https://i.imgur.com/XzidFHI.png")</f>
        <v/>
      </c>
      <c r="Q132" s="36"/>
      <c r="R132" s="33"/>
    </row>
    <row r="133" ht="26.25" customHeight="1">
      <c r="A133" s="15"/>
      <c r="B133" s="40"/>
      <c r="C133" s="41"/>
      <c r="D133" s="43"/>
      <c r="E133" s="41"/>
      <c r="F133" s="40"/>
      <c r="G133" s="41"/>
      <c r="H133" s="43"/>
      <c r="I133" s="41"/>
      <c r="J133" s="40"/>
      <c r="K133" s="41"/>
      <c r="L133" s="43"/>
      <c r="M133" s="41"/>
      <c r="N133" s="40"/>
      <c r="O133" s="41"/>
      <c r="P133" s="40" t="str">
        <f>image("https://i.imgur.com/JDgAgAO.png")</f>
        <v/>
      </c>
      <c r="Q133" s="41"/>
      <c r="R133" s="33"/>
    </row>
    <row r="134" ht="18.75" customHeight="1">
      <c r="A134" s="6"/>
      <c r="B134" s="8" t="s">
        <v>1065</v>
      </c>
      <c r="C134" s="10" t="s">
        <v>1067</v>
      </c>
      <c r="D134" s="8" t="s">
        <v>1068</v>
      </c>
      <c r="E134" s="10" t="s">
        <v>1069</v>
      </c>
      <c r="F134" s="8" t="s">
        <v>1070</v>
      </c>
      <c r="G134" s="10" t="s">
        <v>1071</v>
      </c>
      <c r="H134" s="8" t="s">
        <v>1072</v>
      </c>
      <c r="I134" s="10" t="s">
        <v>1073</v>
      </c>
      <c r="J134" s="8" t="s">
        <v>1074</v>
      </c>
      <c r="K134" s="10" t="s">
        <v>1075</v>
      </c>
      <c r="L134" s="8" t="s">
        <v>1076</v>
      </c>
      <c r="M134" s="10" t="s">
        <v>1077</v>
      </c>
      <c r="N134" s="8" t="s">
        <v>1076</v>
      </c>
      <c r="O134" s="10" t="s">
        <v>1078</v>
      </c>
      <c r="P134" s="8" t="s">
        <v>1076</v>
      </c>
      <c r="Q134" s="10" t="s">
        <v>1080</v>
      </c>
      <c r="R134" s="14"/>
    </row>
    <row r="135" ht="26.25" customHeight="1">
      <c r="A135" s="15"/>
      <c r="B135" s="16" t="str">
        <f>image("https://i.imgur.com/XIu6jDl.png")</f>
        <v/>
      </c>
      <c r="C135" s="20" t="str">
        <f>image("https://pokejungle.net/sprites/normal/"&amp;B134&amp;"-f.png")</f>
        <v/>
      </c>
      <c r="D135" s="16" t="str">
        <f>image("https://i.imgur.com/rJhTvoD.png")</f>
        <v/>
      </c>
      <c r="E135" s="20" t="str">
        <f>image("https://pokejungle.net/sprites/normal/"&amp;D134&amp;".png")</f>
        <v/>
      </c>
      <c r="F135" s="16" t="str">
        <f>image("https://i.imgur.com/beHgI95.png")</f>
        <v/>
      </c>
      <c r="G135" s="20" t="str">
        <f>image("https://pokejungle.net/sprites/normal/"&amp;F134&amp;".png")</f>
        <v/>
      </c>
      <c r="H135" s="24" t="str">
        <f>image("https://i.imgur.com/RqSOGo6.png")</f>
        <v/>
      </c>
      <c r="I135" s="20" t="str">
        <f>image("https://pokejungle.net/sprites/normal/"&amp;H134&amp;".png")</f>
        <v/>
      </c>
      <c r="J135" s="16" t="str">
        <f>image("https://i.imgur.com/XIu6jDl.png")</f>
        <v/>
      </c>
      <c r="K135" s="20" t="str">
        <f>image("https://pokejungle.net/sprites/normal/"&amp;J134&amp;".png")</f>
        <v/>
      </c>
      <c r="L135" s="28" t="str">
        <f>image("https://i.imgur.com/lpOVjtL.png")</f>
        <v/>
      </c>
      <c r="M135" s="20" t="str">
        <f>image("https://pokejungle.net/sprites/normal/"&amp;L134&amp;".png")</f>
        <v/>
      </c>
      <c r="N135" s="16" t="str">
        <f>image("https://i.imgur.com/EkqYYOB.png")</f>
        <v/>
      </c>
      <c r="O135" s="20" t="str">
        <f>image("https://pokejungle.net/sprites/normal/"&amp;N134&amp;"-1.png")</f>
        <v/>
      </c>
      <c r="P135" s="16" t="str">
        <f>image("https://i.imgur.com/EkqYYOB.png")</f>
        <v/>
      </c>
      <c r="Q135" s="20" t="str">
        <f>image("https://pokejungle.net/sprites/normal/"&amp;P134&amp;"-2.png")</f>
        <v/>
      </c>
      <c r="R135" s="33"/>
    </row>
    <row r="136" ht="26.25" customHeight="1">
      <c r="A136" s="15"/>
      <c r="B136" s="38" t="str">
        <f>image("https://i.imgur.com/VQL4lPa.png")</f>
        <v/>
      </c>
      <c r="C136" s="36"/>
      <c r="D136" s="35" t="str">
        <f>image("https://i.imgur.com/EkqYYOB.png")</f>
        <v/>
      </c>
      <c r="E136" s="36"/>
      <c r="F136" s="35" t="str">
        <f>image("https://i.imgur.com/rJhTvoD.png")</f>
        <v/>
      </c>
      <c r="G136" s="36"/>
      <c r="H136" s="37" t="str">
        <f>image("https://i.imgur.com/rJhTvoD.png")</f>
        <v/>
      </c>
      <c r="I136" s="36"/>
      <c r="J136" s="38" t="str">
        <f>image("https://i.imgur.com/lpOVjtL.png")</f>
        <v/>
      </c>
      <c r="K136" s="36"/>
      <c r="L136" s="35" t="str">
        <f>image("https://i.imgur.com/XIu6jDl.png")</f>
        <v/>
      </c>
      <c r="M136" s="36"/>
      <c r="N136" s="38"/>
      <c r="O136" s="36"/>
      <c r="P136" s="38" t="str">
        <f>image("https://i.imgur.com/RqSOGo6.png")</f>
        <v/>
      </c>
      <c r="Q136" s="36"/>
      <c r="R136" s="33"/>
    </row>
    <row r="137" ht="26.25" customHeight="1">
      <c r="A137" s="15"/>
      <c r="B137" s="40"/>
      <c r="C137" s="41"/>
      <c r="D137" s="43" t="str">
        <f>image("https://i.imgur.com/XI18XGu.png")</f>
        <v/>
      </c>
      <c r="E137" s="41"/>
      <c r="F137" s="40"/>
      <c r="G137" s="41"/>
      <c r="H137" s="40"/>
      <c r="I137" s="41"/>
      <c r="J137" s="40"/>
      <c r="K137" s="41"/>
      <c r="L137" s="43"/>
      <c r="M137" s="41"/>
      <c r="N137" s="40"/>
      <c r="O137" s="41"/>
      <c r="P137" s="40"/>
      <c r="Q137" s="41"/>
      <c r="R137" s="33"/>
    </row>
    <row r="138" ht="26.25" customHeight="1">
      <c r="A138" s="15"/>
      <c r="B138" s="16" t="str">
        <f>image("https://i.imgur.com/VQL4lPa.png")</f>
        <v/>
      </c>
      <c r="C138" s="20" t="str">
        <f>image("https://pokejungle.net/sprites/shiny/"&amp;B134&amp;".png")</f>
        <v/>
      </c>
      <c r="D138" s="16" t="str">
        <f>image("https://i.imgur.com/rAI9Gyi.png")</f>
        <v/>
      </c>
      <c r="E138" s="20" t="str">
        <f>image("https://pokejungle.net/sprites/shiny/"&amp;D134&amp;".png")</f>
        <v/>
      </c>
      <c r="F138" s="16" t="str">
        <f>image("https://i.imgur.com/RqSOGo6.png")</f>
        <v/>
      </c>
      <c r="G138" s="20" t="str">
        <f>image("https://pokejungle.net/sprites/shiny/"&amp;F134&amp;".png")</f>
        <v/>
      </c>
      <c r="H138" s="16" t="str">
        <f>image("https://i.imgur.com/a9HBljD.png")</f>
        <v/>
      </c>
      <c r="I138" s="20" t="str">
        <f>image("https://pokejungle.net/sprites/shiny/"&amp;H134&amp;".png")</f>
        <v/>
      </c>
      <c r="J138" s="16" t="str">
        <f>image("https://i.imgur.com/rAI9Gyi.png")</f>
        <v/>
      </c>
      <c r="K138" s="20" t="str">
        <f>image("https://pokejungle.net/sprites/shiny/"&amp;J134&amp;".png")</f>
        <v/>
      </c>
      <c r="L138" s="16" t="str">
        <f>image("https://i.imgur.com/XIu6jDl.png")</f>
        <v/>
      </c>
      <c r="M138" s="20" t="str">
        <f>image("https://pokejungle.net/sprites/shiny/"&amp;L134&amp;".png")</f>
        <v/>
      </c>
      <c r="N138" s="16" t="str">
        <f>image("https://i.imgur.com/EkqYYOB.png")</f>
        <v/>
      </c>
      <c r="O138" s="20" t="str">
        <f>image("https://pokejungle.net/sprites/shiny/"&amp;N134&amp;"-1.png")</f>
        <v/>
      </c>
      <c r="P138" s="16" t="str">
        <f>image("https://i.imgur.com/EkqYYOB.png")</f>
        <v/>
      </c>
      <c r="Q138" s="20" t="str">
        <f>image("https://pokejungle.net/sprites/shiny/"&amp;P134&amp;"-2.png")</f>
        <v/>
      </c>
      <c r="R138" s="33"/>
    </row>
    <row r="139" ht="26.25" customHeight="1">
      <c r="A139" s="15"/>
      <c r="B139" s="38" t="str">
        <f>image("https://i.imgur.com/XIu6jDl.png")</f>
        <v/>
      </c>
      <c r="C139" s="36"/>
      <c r="D139" s="46" t="str">
        <f>image("https://i.imgur.com/a9HBljD.png")</f>
        <v/>
      </c>
      <c r="E139" s="36"/>
      <c r="F139" s="35" t="str">
        <f>image("https://i.imgur.com/rJhTvoD.png")</f>
        <v/>
      </c>
      <c r="G139" s="36"/>
      <c r="H139" s="46" t="str">
        <f>image("https://i.imgur.com/rAI9Gyi.png")</f>
        <v/>
      </c>
      <c r="I139" s="36"/>
      <c r="J139" s="38" t="str">
        <f>image("https://i.imgur.com/zpybKax.png")</f>
        <v/>
      </c>
      <c r="K139" s="36"/>
      <c r="L139" s="46" t="str">
        <f>image("https://i.imgur.com/lpOVjtL.png")</f>
        <v/>
      </c>
      <c r="M139" s="36"/>
      <c r="N139" s="38"/>
      <c r="O139" s="36"/>
      <c r="P139" s="38" t="str">
        <f>image("https://i.imgur.com/RqSOGo6.png")</f>
        <v/>
      </c>
      <c r="Q139" s="36"/>
      <c r="R139" s="33"/>
    </row>
    <row r="140" ht="26.25" customHeight="1">
      <c r="A140" s="15"/>
      <c r="B140" s="40"/>
      <c r="C140" s="41"/>
      <c r="D140" s="43" t="str">
        <f>image("https://i.imgur.com/XI18XGu.png")</f>
        <v/>
      </c>
      <c r="E140" s="41"/>
      <c r="F140" s="40" t="str">
        <f>image("https://i.imgur.com/lKAfx6k.png")</f>
        <v/>
      </c>
      <c r="G140" s="41"/>
      <c r="H140" s="43" t="str">
        <f>image("https://i.imgur.com/XI18XGu.png")</f>
        <v/>
      </c>
      <c r="I140" s="41"/>
      <c r="J140" s="40"/>
      <c r="K140" s="41"/>
      <c r="L140" s="43"/>
      <c r="M140" s="41"/>
      <c r="N140" s="40"/>
      <c r="O140" s="41"/>
      <c r="P140" s="40"/>
      <c r="Q140" s="41"/>
      <c r="R140" s="33"/>
    </row>
    <row r="141" ht="18.75" customHeight="1">
      <c r="A141" s="6"/>
      <c r="B141" s="8" t="s">
        <v>1076</v>
      </c>
      <c r="C141" s="10" t="s">
        <v>1097</v>
      </c>
      <c r="D141" s="8" t="s">
        <v>1098</v>
      </c>
      <c r="E141" s="10" t="s">
        <v>1099</v>
      </c>
      <c r="F141" s="8" t="s">
        <v>1100</v>
      </c>
      <c r="G141" s="10" t="s">
        <v>1101</v>
      </c>
      <c r="H141" s="8" t="s">
        <v>1102</v>
      </c>
      <c r="I141" s="10" t="s">
        <v>1103</v>
      </c>
      <c r="J141" s="8" t="s">
        <v>1104</v>
      </c>
      <c r="K141" s="10" t="s">
        <v>1105</v>
      </c>
      <c r="L141" s="8" t="s">
        <v>1106</v>
      </c>
      <c r="M141" s="10" t="s">
        <v>1107</v>
      </c>
      <c r="N141" s="8" t="s">
        <v>1108</v>
      </c>
      <c r="O141" s="10" t="s">
        <v>1109</v>
      </c>
      <c r="P141" s="8" t="s">
        <v>1110</v>
      </c>
      <c r="Q141" s="10" t="s">
        <v>1111</v>
      </c>
      <c r="R141" s="14"/>
    </row>
    <row r="142" ht="26.25" customHeight="1">
      <c r="A142" s="15"/>
      <c r="B142" s="16" t="str">
        <f>image("https://i.imgur.com/EkqYYOB.png")</f>
        <v/>
      </c>
      <c r="C142" s="20" t="str">
        <f>image("https://pokejungle.net/sprites/normal/"&amp;B141&amp;"-3.png")</f>
        <v/>
      </c>
      <c r="D142" s="16" t="str">
        <f>image("https://i.imgur.com/RqSOGo6.png")</f>
        <v/>
      </c>
      <c r="E142" s="20" t="str">
        <f>image("https://pokejungle.net/sprites/normal/"&amp;D141&amp;".png")</f>
        <v/>
      </c>
      <c r="F142" s="16" t="str">
        <f>image("https://i.imgur.com/XNzvO0H.png")</f>
        <v/>
      </c>
      <c r="G142" s="20" t="str">
        <f>image("https://pokejungle.net/sprites/normal/"&amp;F141&amp;".png")</f>
        <v/>
      </c>
      <c r="H142" s="24" t="str">
        <f>image("https://i.imgur.com/XNzvO0H.png")</f>
        <v/>
      </c>
      <c r="I142" s="20" t="str">
        <f>image("https://pokejungle.net/sprites/normal/"&amp;H141&amp;".png")</f>
        <v/>
      </c>
      <c r="J142" s="16" t="str">
        <f>image("https://i.imgur.com/rAI9Gyi.png")</f>
        <v/>
      </c>
      <c r="K142" s="20" t="str">
        <f>image("https://pokejungle.net/sprites/normal/"&amp;J141&amp;".png")</f>
        <v/>
      </c>
      <c r="L142" s="28" t="str">
        <f>image("https://i.imgur.com/XIu6jDl.png")</f>
        <v/>
      </c>
      <c r="M142" s="20" t="str">
        <f>image("https://pokejungle.net/sprites/normal/"&amp;L141&amp;"-f.png")</f>
        <v/>
      </c>
      <c r="N142" s="16" t="str">
        <f>image("https://i.imgur.com/XNzvO0H.png")</f>
        <v/>
      </c>
      <c r="O142" s="20" t="str">
        <f>image("https://pokejungle.net/sprites/normal/"&amp;N141&amp;".png")</f>
        <v/>
      </c>
      <c r="P142" s="16" t="str">
        <f>image("https://i.imgur.com/beHgI95.png")</f>
        <v/>
      </c>
      <c r="Q142" s="20" t="str">
        <f>image("https://pokejungle.net/sprites/normal/"&amp;P141&amp;".png")</f>
        <v/>
      </c>
      <c r="R142" s="33"/>
    </row>
    <row r="143" ht="26.25" customHeight="1">
      <c r="A143" s="15"/>
      <c r="B143" s="38" t="str">
        <f>image("https://i.imgur.com/XNzvO0H.png")</f>
        <v/>
      </c>
      <c r="C143" s="36"/>
      <c r="D143" s="35" t="str">
        <f>image("https://i.imgur.com/bxys1sd.png")</f>
        <v/>
      </c>
      <c r="E143" s="36"/>
      <c r="F143" s="35" t="str">
        <f>image("https://i.imgur.com/zpybKax.png")</f>
        <v/>
      </c>
      <c r="G143" s="36"/>
      <c r="H143" s="37"/>
      <c r="I143" s="36"/>
      <c r="J143" s="38" t="str">
        <f>image("https://i.imgur.com/XI18XGu.png")</f>
        <v/>
      </c>
      <c r="K143" s="36"/>
      <c r="L143" s="35" t="str">
        <f>image("https://i.imgur.com/lpOVjtL.png")</f>
        <v/>
      </c>
      <c r="M143" s="36"/>
      <c r="N143" s="38" t="str">
        <f>image("https://i.imgur.com/XzidFHI.png")</f>
        <v/>
      </c>
      <c r="O143" s="36"/>
      <c r="P143" s="38"/>
      <c r="Q143" s="36"/>
      <c r="R143" s="33"/>
    </row>
    <row r="144" ht="26.25" customHeight="1">
      <c r="A144" s="15"/>
      <c r="B144" s="40" t="str">
        <f>image("https://i.imgur.com/NkILW1J.png")</f>
        <v/>
      </c>
      <c r="C144" s="41"/>
      <c r="D144" s="40" t="str">
        <f>image("https://i.imgur.com/GyNf8BH.png")</f>
        <v/>
      </c>
      <c r="E144" s="41"/>
      <c r="F144" s="40"/>
      <c r="G144" s="41"/>
      <c r="H144" s="40"/>
      <c r="I144" s="41"/>
      <c r="J144" s="40" t="str">
        <f>image("https://i.imgur.com/a9HBljD.png")</f>
        <v/>
      </c>
      <c r="K144" s="41"/>
      <c r="L144" s="43"/>
      <c r="M144" s="41"/>
      <c r="N144" s="40"/>
      <c r="O144" s="41"/>
      <c r="P144" s="40"/>
      <c r="Q144" s="41"/>
      <c r="R144" s="33"/>
    </row>
    <row r="145" ht="26.25" customHeight="1">
      <c r="A145" s="15"/>
      <c r="B145" s="16" t="str">
        <f>image("https://i.imgur.com/EkqYYOB.png")</f>
        <v/>
      </c>
      <c r="C145" s="20" t="str">
        <f>image("https://pokejungle.net/sprites/shiny/"&amp;B141&amp;"-3.png")</f>
        <v/>
      </c>
      <c r="D145" s="16" t="str">
        <f>image("https://i.imgur.com/EkqYYOB.png")</f>
        <v/>
      </c>
      <c r="E145" s="20" t="str">
        <f>image("https://pokejungle.net/sprites/shiny/"&amp;D141&amp;"-f.png")</f>
        <v/>
      </c>
      <c r="F145" s="16" t="str">
        <f>image("https://i.imgur.com/bxys1sd.png")</f>
        <v/>
      </c>
      <c r="G145" s="20" t="str">
        <f>image("https://pokejungle.net/sprites/shiny/"&amp;F141&amp;"-f.png")</f>
        <v/>
      </c>
      <c r="H145" s="16" t="str">
        <f>image("https://i.imgur.com/XI18XGu.png")</f>
        <v/>
      </c>
      <c r="I145" s="20" t="str">
        <f>image("https://pokejungle.net/sprites/shiny/"&amp;H141&amp;".png")</f>
        <v/>
      </c>
      <c r="J145" s="16" t="str">
        <f>image("https://i.imgur.com/XNzvO0H.png")</f>
        <v/>
      </c>
      <c r="K145" s="20" t="str">
        <f>image("https://pokejungle.net/sprites/shiny/"&amp;J141&amp;".png")</f>
        <v/>
      </c>
      <c r="L145" s="16" t="str">
        <f>image("https://i.imgur.com/0ArMZjJ.png")</f>
        <v/>
      </c>
      <c r="M145" s="20" t="str">
        <f>image("https://pokejungle.net/sprites/shiny/"&amp;L141&amp;".png")</f>
        <v/>
      </c>
      <c r="N145" s="16" t="str">
        <f>image("https://i.imgur.com/XI18XGu.png")</f>
        <v/>
      </c>
      <c r="O145" s="20" t="str">
        <f>image("https://pokejungle.net/sprites/shiny/"&amp;N141&amp;".png")</f>
        <v/>
      </c>
      <c r="P145" s="16" t="str">
        <f>image("https://i.imgur.com/XIu6jDl.png")</f>
        <v/>
      </c>
      <c r="Q145" s="20" t="str">
        <f>image("https://pokejungle.net/sprites/shiny/"&amp;P141&amp;".png")</f>
        <v/>
      </c>
      <c r="R145" s="33"/>
    </row>
    <row r="146" ht="26.25" customHeight="1">
      <c r="A146" s="15"/>
      <c r="B146" s="38" t="str">
        <f>image("https://i.imgur.com/XNzvO0H.png")</f>
        <v/>
      </c>
      <c r="C146" s="36"/>
      <c r="D146" s="46" t="str">
        <f>image("https://i.imgur.com/beHgI95.png")</f>
        <v/>
      </c>
      <c r="E146" s="36"/>
      <c r="F146" s="35" t="str">
        <f>image("https://i.imgur.com/JOd7Boe.png")</f>
        <v/>
      </c>
      <c r="G146" s="36"/>
      <c r="H146" s="46" t="str">
        <f>image("https://i.imgur.com/rAI9Gyi.png")</f>
        <v/>
      </c>
      <c r="I146" s="36"/>
      <c r="J146" s="38" t="str">
        <f>image("https://i.imgur.com/SF5CZ6U.png")</f>
        <v/>
      </c>
      <c r="K146" s="36"/>
      <c r="L146" s="46" t="str">
        <f>image("https://i.imgur.com/XNzvO0H.png")</f>
        <v/>
      </c>
      <c r="M146" s="36"/>
      <c r="N146" s="38" t="str">
        <f>image("https://i.imgur.com/rAI9Gyi.png")</f>
        <v/>
      </c>
      <c r="O146" s="36"/>
      <c r="P146" s="38" t="str">
        <f>image("https://i.imgur.com/VQL4lPa.png")</f>
        <v/>
      </c>
      <c r="Q146" s="36"/>
      <c r="R146" s="33"/>
    </row>
    <row r="147" ht="26.25" customHeight="1">
      <c r="A147" s="15"/>
      <c r="B147" s="40" t="str">
        <f>image("https://i.imgur.com/NkILW1J.png")</f>
        <v/>
      </c>
      <c r="C147" s="41"/>
      <c r="D147" s="43" t="str">
        <f>image("https://i.imgur.com/RqSOGo6.png")</f>
        <v/>
      </c>
      <c r="E147" s="41"/>
      <c r="F147" s="40" t="str">
        <f>image("https://i.imgur.com/GyNf8BH.png")</f>
        <v/>
      </c>
      <c r="G147" s="41"/>
      <c r="H147" s="43" t="str">
        <f>image("https://i.imgur.com/nNTmuH8.png")</f>
        <v/>
      </c>
      <c r="I147" s="41"/>
      <c r="J147" s="40"/>
      <c r="K147" s="41"/>
      <c r="L147" s="43"/>
      <c r="M147" s="41"/>
      <c r="N147" s="40" t="str">
        <f>image("https://i.imgur.com/nNTmuH8.png")</f>
        <v/>
      </c>
      <c r="O147" s="41"/>
      <c r="P147" s="40" t="str">
        <f>image("https://i.imgur.com/beHgI95.png")</f>
        <v/>
      </c>
      <c r="Q147" s="41"/>
      <c r="R147" s="33"/>
    </row>
    <row r="148" ht="18.75" customHeight="1">
      <c r="A148" s="6"/>
      <c r="B148" s="8" t="s">
        <v>1136</v>
      </c>
      <c r="C148" s="10" t="s">
        <v>1137</v>
      </c>
      <c r="D148" s="8" t="s">
        <v>1138</v>
      </c>
      <c r="E148" s="10" t="s">
        <v>1139</v>
      </c>
      <c r="F148" s="8" t="s">
        <v>1140</v>
      </c>
      <c r="G148" s="10" t="s">
        <v>1141</v>
      </c>
      <c r="H148" s="8" t="s">
        <v>1142</v>
      </c>
      <c r="I148" s="10" t="s">
        <v>1144</v>
      </c>
      <c r="J148" s="8" t="s">
        <v>1145</v>
      </c>
      <c r="K148" s="10" t="s">
        <v>1147</v>
      </c>
      <c r="L148" s="8" t="s">
        <v>1149</v>
      </c>
      <c r="M148" s="10" t="s">
        <v>1151</v>
      </c>
      <c r="N148" s="8" t="s">
        <v>1153</v>
      </c>
      <c r="O148" s="10" t="s">
        <v>1155</v>
      </c>
      <c r="P148" s="8" t="s">
        <v>1157</v>
      </c>
      <c r="Q148" s="10" t="s">
        <v>1159</v>
      </c>
      <c r="R148" s="14"/>
    </row>
    <row r="149" ht="26.25" customHeight="1">
      <c r="A149" s="15"/>
      <c r="B149" s="16" t="str">
        <f>image("https://i.imgur.com/RqSOGo6.png")</f>
        <v/>
      </c>
      <c r="C149" s="20" t="str">
        <f>image("https://pokejungle.net/sprites/normal/"&amp;B148&amp;".png")</f>
        <v/>
      </c>
      <c r="D149" s="16" t="str">
        <f>image("https://i.imgur.com/ef1o2lD.png")</f>
        <v/>
      </c>
      <c r="E149" s="20" t="str">
        <f>image("https://pokejungle.net/sprites/normal/"&amp;D148&amp;".png")</f>
        <v/>
      </c>
      <c r="F149" s="16" t="str">
        <f>image("https://i.imgur.com/XNzvO0H.png")</f>
        <v/>
      </c>
      <c r="G149" s="20" t="str">
        <f>image("https://pokejungle.net/sprites/normal/"&amp;F148&amp;".png")</f>
        <v/>
      </c>
      <c r="H149" s="24" t="str">
        <f>image("https://i.imgur.com/XNzvO0H.png")</f>
        <v/>
      </c>
      <c r="I149" s="20" t="str">
        <f>image("https://pokejungle.net/sprites/normal/"&amp;H148&amp;".png")</f>
        <v/>
      </c>
      <c r="J149" s="16" t="str">
        <f>image("https://i.imgur.com/EkqYYOB.png")</f>
        <v/>
      </c>
      <c r="K149" s="20" t="str">
        <f>image("https://pokejungle.net/sprites/normal/"&amp;J148&amp;".png")</f>
        <v/>
      </c>
      <c r="L149" s="28" t="str">
        <f>image("https://i.imgur.com/EkqYYOB.png")</f>
        <v/>
      </c>
      <c r="M149" s="20" t="str">
        <f>image("https://pokejungle.net/sprites/normal/"&amp;L148&amp;".png")</f>
        <v/>
      </c>
      <c r="N149" s="16" t="str">
        <f>image("https://i.imgur.com/XI18XGu.png")</f>
        <v/>
      </c>
      <c r="O149" s="20" t="str">
        <f>image("https://pokejungle.net/sprites/normal/"&amp;N148&amp;".png")</f>
        <v/>
      </c>
      <c r="P149" s="16" t="str">
        <f>image("https://i.imgur.com/XzidFHI.png")</f>
        <v/>
      </c>
      <c r="Q149" s="20" t="str">
        <f>image("https://pokejungle.net/sprites/normal/"&amp;P148&amp;".png")</f>
        <v/>
      </c>
      <c r="R149" s="33"/>
    </row>
    <row r="150" ht="26.25" customHeight="1">
      <c r="A150" s="15"/>
      <c r="B150" s="38" t="str">
        <f>image("https://i.imgur.com/lKAfx6k.png")</f>
        <v/>
      </c>
      <c r="C150" s="36"/>
      <c r="D150" s="38" t="str">
        <f>image("https://i.imgur.com/SF5CZ6U.png")</f>
        <v/>
      </c>
      <c r="E150" s="36"/>
      <c r="F150" s="35" t="str">
        <f>image("https://i.imgur.com/zpybKax.png")</f>
        <v/>
      </c>
      <c r="G150" s="36"/>
      <c r="H150" s="37" t="str">
        <f>image("https://i.imgur.com/zpybKax.png")</f>
        <v/>
      </c>
      <c r="I150" s="36"/>
      <c r="J150" s="38" t="str">
        <f>image("https://i.imgur.com/XIu6jDl.png")</f>
        <v/>
      </c>
      <c r="K150" s="36"/>
      <c r="L150" s="35" t="str">
        <f>image("https://i.imgur.com/XIu6jDl.png")</f>
        <v/>
      </c>
      <c r="M150" s="36"/>
      <c r="N150" s="38" t="str">
        <f>image("https://i.imgur.com/rAI9Gyi.png")</f>
        <v/>
      </c>
      <c r="O150" s="36"/>
      <c r="P150" s="38" t="str">
        <f>image("https://i.imgur.com/NkILW1J.png")</f>
        <v/>
      </c>
      <c r="Q150" s="36"/>
      <c r="R150" s="33"/>
    </row>
    <row r="151" ht="26.25" customHeight="1">
      <c r="A151" s="15"/>
      <c r="B151" s="40"/>
      <c r="C151" s="41"/>
      <c r="D151" s="40"/>
      <c r="E151" s="41"/>
      <c r="F151" s="40"/>
      <c r="G151" s="41"/>
      <c r="H151" s="40"/>
      <c r="I151" s="41"/>
      <c r="J151" s="40"/>
      <c r="K151" s="41"/>
      <c r="L151" s="43"/>
      <c r="M151" s="41"/>
      <c r="N151" s="40" t="str">
        <f>image("https://i.imgur.com/nNTmuH8.png")</f>
        <v/>
      </c>
      <c r="O151" s="41"/>
      <c r="P151" s="40" t="str">
        <f>image("https://i.imgur.com/JDgAgAO.png")</f>
        <v/>
      </c>
      <c r="Q151" s="41"/>
      <c r="R151" s="33"/>
    </row>
    <row r="152" ht="26.25" customHeight="1">
      <c r="A152" s="15"/>
      <c r="B152" s="16" t="str">
        <f>image("https://i.imgur.com/RqSOGo6.png")</f>
        <v/>
      </c>
      <c r="C152" s="20" t="str">
        <f>image("https://pokejungle.net/sprites/shiny/"&amp;B148&amp;".png")</f>
        <v/>
      </c>
      <c r="D152" s="16" t="str">
        <f>image("https://i.imgur.com/rAI9Gyi.png")</f>
        <v/>
      </c>
      <c r="E152" s="20" t="str">
        <f>image("https://pokejungle.net/sprites/shiny/"&amp;D148&amp;".png")</f>
        <v/>
      </c>
      <c r="F152" s="16" t="str">
        <f>image("https://i.imgur.com/rAI9Gyi.png")</f>
        <v/>
      </c>
      <c r="G152" s="20" t="str">
        <f>image("https://pokejungle.net/sprites/shiny/"&amp;F148&amp;".png")</f>
        <v/>
      </c>
      <c r="H152" s="16" t="str">
        <f>image("https://i.imgur.com/rAI9Gyi.png")</f>
        <v/>
      </c>
      <c r="I152" s="20" t="str">
        <f>image("https://pokejungle.net/sprites/shiny/"&amp;H148&amp;".png")</f>
        <v/>
      </c>
      <c r="J152" s="16" t="str">
        <f>image("https://i.imgur.com/XIu6jDl.png")</f>
        <v/>
      </c>
      <c r="K152" s="20" t="str">
        <f>image("https://pokejungle.net/sprites/shiny/"&amp;J148&amp;".png")</f>
        <v/>
      </c>
      <c r="L152" s="16" t="str">
        <f>image("https://i.imgur.com/XIu6jDl.png")</f>
        <v/>
      </c>
      <c r="M152" s="20" t="str">
        <f>image("https://pokejungle.net/sprites/shiny/"&amp;L148&amp;".png")</f>
        <v/>
      </c>
      <c r="N152" s="16" t="str">
        <f>image("https://i.imgur.com/rAI9Gyi.png")</f>
        <v/>
      </c>
      <c r="O152" s="20" t="str">
        <f>image("https://pokejungle.net/sprites/shiny/"&amp;N148&amp;".png")</f>
        <v/>
      </c>
      <c r="P152" s="16" t="str">
        <f>image("https://i.imgur.com/NkILW1J.png")</f>
        <v/>
      </c>
      <c r="Q152" s="20" t="str">
        <f>image("https://pokejungle.net/sprites/shiny/"&amp;P148&amp;".png")</f>
        <v/>
      </c>
      <c r="R152" s="33"/>
    </row>
    <row r="153" ht="26.25" customHeight="1">
      <c r="A153" s="15"/>
      <c r="B153" s="38" t="str">
        <f>image("https://i.imgur.com/lKAfx6k.png")</f>
        <v/>
      </c>
      <c r="C153" s="36"/>
      <c r="D153" s="46" t="str">
        <f>image("https://i.imgur.com/SF5CZ6U.png")</f>
        <v/>
      </c>
      <c r="E153" s="36"/>
      <c r="F153" s="35"/>
      <c r="G153" s="36"/>
      <c r="H153" s="46"/>
      <c r="I153" s="36"/>
      <c r="J153" s="38"/>
      <c r="K153" s="36"/>
      <c r="L153" s="46"/>
      <c r="M153" s="36"/>
      <c r="N153" s="38" t="str">
        <f>image("https://i.imgur.com/XI18XGu.png")</f>
        <v/>
      </c>
      <c r="O153" s="36"/>
      <c r="P153" s="38" t="str">
        <f>image("https://i.imgur.com/JDgAgAO.png")</f>
        <v/>
      </c>
      <c r="Q153" s="36"/>
      <c r="R153" s="33"/>
    </row>
    <row r="154" ht="26.25" customHeight="1">
      <c r="A154" s="15"/>
      <c r="B154" s="40" t="str">
        <f>image("https://i.imgur.com/rJhTvoD.png")</f>
        <v/>
      </c>
      <c r="C154" s="41"/>
      <c r="D154" s="43" t="str">
        <f>image("https://i.imgur.com/XI18XGu.png")</f>
        <v/>
      </c>
      <c r="E154" s="41"/>
      <c r="F154" s="40"/>
      <c r="G154" s="41"/>
      <c r="H154" s="43"/>
      <c r="I154" s="41"/>
      <c r="J154" s="40"/>
      <c r="K154" s="41"/>
      <c r="L154" s="43"/>
      <c r="M154" s="41"/>
      <c r="N154" s="40" t="str">
        <f>image("https://i.imgur.com/nNTmuH8.png")</f>
        <v/>
      </c>
      <c r="O154" s="41"/>
      <c r="P154" s="40" t="str">
        <f>image("https://i.imgur.com/SF5CZ6U.png")</f>
        <v/>
      </c>
      <c r="Q154" s="41"/>
      <c r="R154" s="33"/>
    </row>
    <row r="155" ht="18.75" customHeight="1">
      <c r="A155" s="6"/>
      <c r="B155" s="8" t="s">
        <v>1199</v>
      </c>
      <c r="C155" s="10" t="s">
        <v>1201</v>
      </c>
      <c r="D155" s="8" t="s">
        <v>1199</v>
      </c>
      <c r="E155" s="10" t="s">
        <v>1203</v>
      </c>
      <c r="F155" s="8" t="s">
        <v>1204</v>
      </c>
      <c r="G155" s="10" t="s">
        <v>1206</v>
      </c>
      <c r="H155" s="8" t="s">
        <v>1204</v>
      </c>
      <c r="I155" s="10" t="s">
        <v>1207</v>
      </c>
      <c r="J155" s="8" t="s">
        <v>1209</v>
      </c>
      <c r="K155" s="10" t="s">
        <v>1210</v>
      </c>
      <c r="L155" s="8" t="s">
        <v>1209</v>
      </c>
      <c r="M155" s="10" t="s">
        <v>1211</v>
      </c>
      <c r="N155" s="8" t="s">
        <v>1212</v>
      </c>
      <c r="O155" s="10" t="s">
        <v>1213</v>
      </c>
      <c r="P155" s="8" t="s">
        <v>1214</v>
      </c>
      <c r="Q155" s="10" t="s">
        <v>1215</v>
      </c>
      <c r="R155" s="14"/>
    </row>
    <row r="156" ht="26.25" customHeight="1">
      <c r="A156" s="15"/>
      <c r="B156" s="16" t="str">
        <f>image("https://i.imgur.com/XNzvO0H.png")</f>
        <v/>
      </c>
      <c r="C156" s="20" t="str">
        <f>image("https://pokejungle.net/sprites/normal/"&amp;B155&amp;".png")</f>
        <v/>
      </c>
      <c r="D156" s="16" t="str">
        <f>image("https://i.imgur.com/XI18XGu.png")</f>
        <v/>
      </c>
      <c r="E156" s="20" t="str">
        <f>image("https://pokejungle.net/sprites/normal/"&amp;D155&amp;"-1.png")</f>
        <v/>
      </c>
      <c r="F156" s="16" t="str">
        <f>image("https://i.imgur.com/beHgI95.png")</f>
        <v/>
      </c>
      <c r="G156" s="20" t="str">
        <f>image("https://pokejungle.net/sprites/normal/"&amp;F155&amp;".png")</f>
        <v/>
      </c>
      <c r="H156" s="24" t="str">
        <f>image("https://i.imgur.com/RqSOGo6.png")</f>
        <v/>
      </c>
      <c r="I156" s="20" t="str">
        <f>image("https://pokejungle.net/sprites/normal/"&amp;H155&amp;"-1.png")</f>
        <v/>
      </c>
      <c r="J156" s="16" t="str">
        <f>image("https://i.imgur.com/RqSOGo6.png")</f>
        <v/>
      </c>
      <c r="K156" s="20" t="str">
        <f>image("https://pokejungle.net/sprites/normal/"&amp;J155&amp;".png")</f>
        <v/>
      </c>
      <c r="L156" s="28" t="str">
        <f>image("https://i.imgur.com/JOd7Boe.png")</f>
        <v/>
      </c>
      <c r="M156" s="20" t="str">
        <f>image("https://pokejungle.net/sprites/normal/"&amp;L155&amp;"-1.png")</f>
        <v/>
      </c>
      <c r="N156" s="16" t="str">
        <f>image("https://i.imgur.com/XNzvO0H.png")</f>
        <v/>
      </c>
      <c r="O156" s="20" t="str">
        <f>image("https://pokejungle.net/sprites/normal/"&amp;N155&amp;".png")</f>
        <v/>
      </c>
      <c r="P156" s="16" t="str">
        <f>image("https://i.imgur.com/XNzvO0H.png")</f>
        <v/>
      </c>
      <c r="Q156" s="20" t="str">
        <f>image("https://pokejungle.net/sprites/normal/"&amp;P155&amp;".png")</f>
        <v/>
      </c>
      <c r="R156" s="33"/>
    </row>
    <row r="157" ht="26.25" customHeight="1">
      <c r="A157" s="15"/>
      <c r="B157" s="38"/>
      <c r="C157" s="36"/>
      <c r="D157" s="35" t="str">
        <f>image("https://i.imgur.com/N2Wqr43.png")</f>
        <v/>
      </c>
      <c r="E157" s="36"/>
      <c r="F157" s="35" t="str">
        <f>image("https://i.imgur.com/rJhTvoD.png")</f>
        <v/>
      </c>
      <c r="G157" s="36"/>
      <c r="H157" s="37" t="str">
        <f>image("https://i.imgur.com/EkqYYOB.png")</f>
        <v/>
      </c>
      <c r="I157" s="36"/>
      <c r="J157" s="38"/>
      <c r="K157" s="36"/>
      <c r="L157" s="35" t="str">
        <f>image("https://i.imgur.com/N2Wqr43.png")</f>
        <v/>
      </c>
      <c r="M157" s="36"/>
      <c r="N157" s="38"/>
      <c r="O157" s="36"/>
      <c r="P157" s="38"/>
      <c r="Q157" s="36"/>
      <c r="R157" s="33"/>
    </row>
    <row r="158" ht="26.25" customHeight="1">
      <c r="A158" s="15"/>
      <c r="B158" s="40"/>
      <c r="C158" s="41"/>
      <c r="D158" s="40"/>
      <c r="E158" s="41"/>
      <c r="F158" s="40"/>
      <c r="G158" s="41"/>
      <c r="H158" s="40" t="str">
        <f t="shared" ref="H158:H159" si="7">image("https://i.imgur.com/beHgI95.png")</f>
        <v/>
      </c>
      <c r="I158" s="41"/>
      <c r="J158" s="40"/>
      <c r="K158" s="41"/>
      <c r="L158" s="43" t="str">
        <f>image("https://i.imgur.com/EkqYYOB.png")</f>
        <v/>
      </c>
      <c r="M158" s="41"/>
      <c r="N158" s="40"/>
      <c r="O158" s="41"/>
      <c r="P158" s="40"/>
      <c r="Q158" s="41"/>
      <c r="R158" s="33"/>
    </row>
    <row r="159" ht="26.25" customHeight="1">
      <c r="A159" s="15"/>
      <c r="B159" s="16" t="str">
        <f>image("https://i.imgur.com/XNzvO0H.png")</f>
        <v/>
      </c>
      <c r="C159" s="20" t="str">
        <f>image("https://pokejungle.net/sprites/shiny/"&amp;B155&amp;".png")</f>
        <v/>
      </c>
      <c r="D159" s="16" t="str">
        <f>image("https://i.imgur.com/SF5CZ6U.png")</f>
        <v/>
      </c>
      <c r="E159" s="20" t="str">
        <f>image("https://img.pokemondb.net/sprites/home/shiny/articuno-galarian.png")</f>
        <v/>
      </c>
      <c r="F159" s="16" t="str">
        <f>image("https://i.imgur.com/beHgI95.png")</f>
        <v/>
      </c>
      <c r="G159" s="20" t="str">
        <f>image("https://pokejungle.net/sprites/shiny/"&amp;F155&amp;".png")</f>
        <v/>
      </c>
      <c r="H159" s="16" t="str">
        <f t="shared" si="7"/>
        <v/>
      </c>
      <c r="I159" s="20" t="str">
        <f>image("https://img.pokemondb.net/sprites/home/shiny/zapdos-galarian.png")</f>
        <v/>
      </c>
      <c r="J159" s="16" t="str">
        <f>image("https://i.imgur.com/RqSOGo6.png")</f>
        <v/>
      </c>
      <c r="K159" s="20" t="str">
        <f>image("https://pokejungle.net/sprites/shiny/"&amp;J155&amp;".png")</f>
        <v/>
      </c>
      <c r="L159" s="16" t="str">
        <f>image("https://i.imgur.com/bxys1sd.png")</f>
        <v/>
      </c>
      <c r="M159" s="20" t="str">
        <f>image("https://img.pokemondb.net/sprites/home/shiny/moltres-galarian.png")</f>
        <v/>
      </c>
      <c r="N159" s="16" t="str">
        <f>image("https://i.imgur.com/a9HBljD.png")</f>
        <v/>
      </c>
      <c r="O159" s="20" t="str">
        <f>image("https://pokejungle.net/sprites/shiny/"&amp;N155&amp;".png")</f>
        <v/>
      </c>
      <c r="P159" s="16" t="str">
        <f>image("https://i.imgur.com/a9HBljD.png")</f>
        <v/>
      </c>
      <c r="Q159" s="20" t="str">
        <f>image("https://pokejungle.net/sprites/shiny/"&amp;P155&amp;".png")</f>
        <v/>
      </c>
      <c r="R159" s="33"/>
    </row>
    <row r="160" ht="26.25" customHeight="1">
      <c r="A160" s="15"/>
      <c r="B160" s="38" t="str">
        <f>image("https://i.imgur.com/0ArMZjJ.png")</f>
        <v/>
      </c>
      <c r="C160" s="36"/>
      <c r="D160" s="46" t="str">
        <f>image("https://i.imgur.com/aeqHLEh.png")</f>
        <v/>
      </c>
      <c r="E160" s="36"/>
      <c r="F160" s="35" t="str">
        <f>image("https://i.imgur.com/rJhTvoD.png")</f>
        <v/>
      </c>
      <c r="G160" s="36"/>
      <c r="H160" s="46" t="str">
        <f>image("https://i.imgur.com/aeqHLEh.png")</f>
        <v/>
      </c>
      <c r="I160" s="36"/>
      <c r="J160" s="38" t="str">
        <f>image("https://i.imgur.com/lKAfx6k.png")</f>
        <v/>
      </c>
      <c r="K160" s="36"/>
      <c r="L160" s="46" t="str">
        <f>image("https://i.imgur.com/beHgI95.png")</f>
        <v/>
      </c>
      <c r="M160" s="36"/>
      <c r="N160" s="38" t="str">
        <f>image("https://i.imgur.com/rAI9Gyi.png")</f>
        <v/>
      </c>
      <c r="O160" s="36"/>
      <c r="P160" s="38" t="str">
        <f>image("https://i.imgur.com/rAI9Gyi.png")</f>
        <v/>
      </c>
      <c r="Q160" s="36"/>
      <c r="R160" s="33"/>
    </row>
    <row r="161" ht="26.25" customHeight="1">
      <c r="A161" s="15"/>
      <c r="B161" s="40"/>
      <c r="C161" s="41"/>
      <c r="D161" s="43"/>
      <c r="E161" s="41"/>
      <c r="F161" s="40"/>
      <c r="G161" s="41"/>
      <c r="H161" s="43"/>
      <c r="I161" s="41"/>
      <c r="J161" s="40" t="str">
        <f>image("https://i.imgur.com/rAI9Gyi.png")</f>
        <v/>
      </c>
      <c r="K161" s="41"/>
      <c r="L161" s="43" t="str">
        <f>image("https://i.imgur.com/aeqHLEh.png")</f>
        <v/>
      </c>
      <c r="M161" s="41"/>
      <c r="N161" s="43" t="str">
        <f>image("https://i.imgur.com/XI18XGu.png")</f>
        <v/>
      </c>
      <c r="O161" s="41"/>
      <c r="P161" s="43" t="str">
        <f>image("https://i.imgur.com/XI18XGu.png")</f>
        <v/>
      </c>
      <c r="Q161" s="41"/>
      <c r="R161" s="33"/>
    </row>
    <row r="162" ht="18.75" customHeight="1">
      <c r="A162" s="6"/>
      <c r="B162" s="8" t="s">
        <v>1216</v>
      </c>
      <c r="C162" s="10" t="s">
        <v>1217</v>
      </c>
      <c r="D162" s="8" t="s">
        <v>1218</v>
      </c>
      <c r="E162" s="10" t="s">
        <v>1219</v>
      </c>
      <c r="F162" s="89" t="s">
        <v>54</v>
      </c>
      <c r="G162" s="90" t="s">
        <v>55</v>
      </c>
      <c r="H162" s="91"/>
      <c r="I162" s="92"/>
      <c r="J162" s="93"/>
      <c r="K162" s="94"/>
      <c r="L162" s="93"/>
      <c r="M162" s="94"/>
      <c r="N162" s="93"/>
      <c r="O162" s="94"/>
      <c r="P162" s="93"/>
      <c r="Q162" s="94"/>
      <c r="R162" s="95"/>
    </row>
    <row r="163" ht="26.25" customHeight="1">
      <c r="A163" s="15"/>
      <c r="B163" s="16" t="str">
        <f>image("https://i.imgur.com/lKAfx6k.png")</f>
        <v/>
      </c>
      <c r="C163" s="20" t="str">
        <f>image("https://pokejungle.net/sprites/normal/"&amp;B162&amp;".png")</f>
        <v/>
      </c>
      <c r="D163" s="16" t="str">
        <f>image("https://i.imgur.com/nNTmuH8.png")</f>
        <v/>
      </c>
      <c r="E163" s="20" t="str">
        <f>image("https://pokejungle.net/sprites/normal/"&amp;D162&amp;".png")</f>
        <v/>
      </c>
      <c r="F163" s="16" t="str">
        <f>image("https://i.imgur.com/aeqHLEh.png")</f>
        <v/>
      </c>
      <c r="G163" s="20" t="str">
        <f>image("https://pokejungle.net/sprites/normal/"&amp;F162&amp;".png")</f>
        <v/>
      </c>
      <c r="H163" s="97"/>
      <c r="I163" s="73"/>
      <c r="J163" s="2"/>
      <c r="K163" s="1"/>
      <c r="L163" s="2"/>
      <c r="M163" s="1"/>
      <c r="N163" s="2"/>
      <c r="O163" s="1"/>
      <c r="P163" s="2"/>
      <c r="Q163" s="1"/>
      <c r="R163" s="1"/>
    </row>
    <row r="164" ht="26.25" customHeight="1">
      <c r="A164" s="15"/>
      <c r="B164" s="38" t="str">
        <f>image("https://i.imgur.com/RqSOGo6.png")</f>
        <v/>
      </c>
      <c r="C164" s="36"/>
      <c r="D164" s="38"/>
      <c r="E164" s="36"/>
      <c r="F164" s="46" t="str">
        <f>image("https://i.imgur.com/bxys1sd.png")</f>
        <v/>
      </c>
      <c r="G164" s="36"/>
      <c r="H164" s="98"/>
      <c r="I164" s="26"/>
      <c r="J164" s="2"/>
      <c r="K164" s="1"/>
      <c r="L164" s="2"/>
      <c r="M164" s="1"/>
      <c r="N164" s="2"/>
      <c r="O164" s="1"/>
      <c r="P164" s="2"/>
      <c r="Q164" s="1"/>
      <c r="R164" s="1"/>
    </row>
    <row r="165" ht="26.25" customHeight="1">
      <c r="A165" s="15"/>
      <c r="B165" s="40" t="str">
        <f>image("https://i.imgur.com/rJhTvoD.png")</f>
        <v/>
      </c>
      <c r="C165" s="41"/>
      <c r="D165" s="40"/>
      <c r="E165" s="41"/>
      <c r="F165" s="43" t="str">
        <f>image("https://i.imgur.com/0ArMZjJ.png")</f>
        <v/>
      </c>
      <c r="G165" s="41"/>
      <c r="H165" s="72"/>
      <c r="I165" s="52"/>
      <c r="J165" s="2"/>
      <c r="K165" s="1"/>
      <c r="L165" s="2"/>
      <c r="M165" s="1"/>
      <c r="N165" s="2"/>
      <c r="O165" s="1"/>
      <c r="P165" s="2"/>
      <c r="Q165" s="1"/>
      <c r="R165" s="1"/>
    </row>
    <row r="166" ht="26.25" customHeight="1">
      <c r="A166" s="15"/>
      <c r="B166" s="16" t="str">
        <f>image("https://i.imgur.com/VQL4lPa.png")</f>
        <v/>
      </c>
      <c r="C166" s="20" t="str">
        <f>image("https://pokejungle.net/sprites/shiny/"&amp;B162&amp;".png")</f>
        <v/>
      </c>
      <c r="D166" s="16" t="str">
        <f>image("https://i.imgur.com/VQL4lPa.png")</f>
        <v/>
      </c>
      <c r="E166" s="20" t="str">
        <f>image("https://pokejungle.net/sprites/shiny/"&amp;D162&amp;".png")</f>
        <v/>
      </c>
      <c r="F166" s="28" t="str">
        <f>image("https://i.imgur.com/XNzvO0H.png")</f>
        <v/>
      </c>
      <c r="G166" s="20" t="str">
        <f>image("https://pokejungle.net/sprites/shiny/"&amp;F162&amp;".png")</f>
        <v/>
      </c>
      <c r="H166" s="72"/>
      <c r="I166" s="73"/>
      <c r="J166" s="2"/>
      <c r="K166" s="1"/>
      <c r="L166" s="2"/>
      <c r="M166" s="1"/>
      <c r="N166" s="2"/>
      <c r="O166" s="1"/>
      <c r="P166" s="2"/>
      <c r="Q166" s="1"/>
      <c r="R166" s="1"/>
    </row>
    <row r="167" ht="26.25" customHeight="1">
      <c r="A167" s="15"/>
      <c r="B167" s="38" t="str">
        <f>image("https://i.imgur.com/XIu6jDl.png")</f>
        <v/>
      </c>
      <c r="C167" s="36"/>
      <c r="D167" s="38" t="str">
        <f>image("https://i.imgur.com/XIu6jDl.png")</f>
        <v/>
      </c>
      <c r="E167" s="36"/>
      <c r="F167" s="38" t="str">
        <f>image("https://i.imgur.com/SF5CZ6U.png")</f>
        <v/>
      </c>
      <c r="G167" s="36"/>
      <c r="H167" s="97"/>
      <c r="I167" s="26"/>
      <c r="J167" s="2"/>
      <c r="K167" s="1"/>
      <c r="L167" s="2"/>
      <c r="M167" s="1"/>
      <c r="N167" s="2"/>
      <c r="O167" s="1"/>
      <c r="P167" s="2"/>
      <c r="Q167" s="1"/>
      <c r="R167" s="1"/>
    </row>
    <row r="168" ht="26.25" customHeight="1">
      <c r="A168" s="15"/>
      <c r="B168" s="40"/>
      <c r="C168" s="41"/>
      <c r="D168" s="40"/>
      <c r="E168" s="41"/>
      <c r="F168" s="43" t="str">
        <f>image("https://i.imgur.com/bxys1sd.png")</f>
        <v/>
      </c>
      <c r="G168" s="41"/>
      <c r="H168" s="97"/>
      <c r="I168" s="52"/>
      <c r="J168" s="2"/>
      <c r="K168" s="1"/>
      <c r="L168" s="2"/>
      <c r="M168" s="1"/>
      <c r="N168" s="2"/>
      <c r="O168" s="1"/>
      <c r="P168" s="2"/>
      <c r="Q168" s="1"/>
      <c r="R168" s="1"/>
    </row>
    <row r="169" ht="18.75" customHeight="1">
      <c r="A169" s="1"/>
      <c r="B169" s="99"/>
      <c r="C169" s="100"/>
      <c r="D169" s="99"/>
      <c r="E169" s="100"/>
      <c r="F169" s="99"/>
      <c r="G169" s="100"/>
      <c r="H169" s="2"/>
      <c r="I169" s="1"/>
      <c r="J169" s="2"/>
      <c r="K169" s="1"/>
      <c r="L169" s="2"/>
      <c r="M169" s="1"/>
      <c r="N169" s="2"/>
      <c r="O169" s="1"/>
      <c r="P169" s="2"/>
      <c r="Q169" s="1"/>
      <c r="R169" s="1"/>
    </row>
  </sheetData>
  <mergeCells count="376">
    <mergeCell ref="I19:I21"/>
    <mergeCell ref="I23:I25"/>
    <mergeCell ref="I30:I32"/>
    <mergeCell ref="I33:I35"/>
    <mergeCell ref="I37:I39"/>
    <mergeCell ref="I40:I42"/>
    <mergeCell ref="I44:I46"/>
    <mergeCell ref="I79:I81"/>
    <mergeCell ref="I82:I84"/>
    <mergeCell ref="I86:I88"/>
    <mergeCell ref="I89:I91"/>
    <mergeCell ref="I93:I95"/>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40:O42"/>
    <mergeCell ref="O44:O46"/>
    <mergeCell ref="O47:O49"/>
    <mergeCell ref="O51:O53"/>
    <mergeCell ref="O54:O56"/>
    <mergeCell ref="O58:O60"/>
    <mergeCell ref="O61:O63"/>
    <mergeCell ref="I72:I74"/>
    <mergeCell ref="I75:I77"/>
    <mergeCell ref="M72:M74"/>
    <mergeCell ref="M75:M77"/>
    <mergeCell ref="M79:M81"/>
    <mergeCell ref="M82:M84"/>
    <mergeCell ref="M86:M88"/>
    <mergeCell ref="M89:M91"/>
    <mergeCell ref="M93:M95"/>
    <mergeCell ref="M58:M60"/>
    <mergeCell ref="M61:M63"/>
    <mergeCell ref="M65:M67"/>
    <mergeCell ref="K68:K70"/>
    <mergeCell ref="M68:M70"/>
    <mergeCell ref="K72:K74"/>
    <mergeCell ref="K75:K77"/>
    <mergeCell ref="E100:E102"/>
    <mergeCell ref="E103:E105"/>
    <mergeCell ref="C86:C88"/>
    <mergeCell ref="C89:C91"/>
    <mergeCell ref="C93:C95"/>
    <mergeCell ref="C96:C98"/>
    <mergeCell ref="C100:C102"/>
    <mergeCell ref="G100:G102"/>
    <mergeCell ref="G103:G105"/>
    <mergeCell ref="E110:E112"/>
    <mergeCell ref="E114:E116"/>
    <mergeCell ref="C103:C105"/>
    <mergeCell ref="C107:C109"/>
    <mergeCell ref="E107:E109"/>
    <mergeCell ref="G107:G109"/>
    <mergeCell ref="C110:C112"/>
    <mergeCell ref="G110:G112"/>
    <mergeCell ref="G114:G116"/>
    <mergeCell ref="E121:E123"/>
    <mergeCell ref="E124:E126"/>
    <mergeCell ref="C114:C116"/>
    <mergeCell ref="C117:C119"/>
    <mergeCell ref="E117:E119"/>
    <mergeCell ref="G117:G119"/>
    <mergeCell ref="C121:C123"/>
    <mergeCell ref="G121:G123"/>
    <mergeCell ref="G124:G126"/>
    <mergeCell ref="E131:E133"/>
    <mergeCell ref="E135:E137"/>
    <mergeCell ref="C124:C126"/>
    <mergeCell ref="C128:C130"/>
    <mergeCell ref="E128:E130"/>
    <mergeCell ref="G128:G130"/>
    <mergeCell ref="C131:C133"/>
    <mergeCell ref="G131:G133"/>
    <mergeCell ref="G135:G137"/>
    <mergeCell ref="E142:E144"/>
    <mergeCell ref="E145:E147"/>
    <mergeCell ref="C135:C137"/>
    <mergeCell ref="C138:C140"/>
    <mergeCell ref="E138:E140"/>
    <mergeCell ref="G138:G140"/>
    <mergeCell ref="C142:C144"/>
    <mergeCell ref="G142:G144"/>
    <mergeCell ref="G145:G147"/>
    <mergeCell ref="E152:E154"/>
    <mergeCell ref="E156:E158"/>
    <mergeCell ref="C145:C147"/>
    <mergeCell ref="C149:C151"/>
    <mergeCell ref="E149:E151"/>
    <mergeCell ref="G149:G151"/>
    <mergeCell ref="C152:C154"/>
    <mergeCell ref="G152:G154"/>
    <mergeCell ref="G156:G158"/>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C61:C63"/>
    <mergeCell ref="C65:C67"/>
    <mergeCell ref="C68:C70"/>
    <mergeCell ref="C72:C74"/>
    <mergeCell ref="C75:C77"/>
    <mergeCell ref="C79:C81"/>
    <mergeCell ref="C82:C84"/>
    <mergeCell ref="E163:E165"/>
    <mergeCell ref="E166:E168"/>
    <mergeCell ref="C156:C158"/>
    <mergeCell ref="C159:C161"/>
    <mergeCell ref="E159:E161"/>
    <mergeCell ref="G159:G161"/>
    <mergeCell ref="C163:C165"/>
    <mergeCell ref="G163:G165"/>
    <mergeCell ref="C166:C168"/>
    <mergeCell ref="G166:G168"/>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54:Q56"/>
    <mergeCell ref="Q58:Q60"/>
    <mergeCell ref="Q61:Q63"/>
    <mergeCell ref="Q65:Q67"/>
    <mergeCell ref="Q68:Q70"/>
    <mergeCell ref="Q72:Q74"/>
    <mergeCell ref="Q75:Q77"/>
    <mergeCell ref="Q79:Q81"/>
    <mergeCell ref="Q82:Q84"/>
    <mergeCell ref="Q86:Q88"/>
    <mergeCell ref="Q89:Q91"/>
    <mergeCell ref="Q93:Q95"/>
    <mergeCell ref="Q96:Q98"/>
    <mergeCell ref="Q100:Q102"/>
    <mergeCell ref="Q103:Q105"/>
    <mergeCell ref="Q107:Q109"/>
    <mergeCell ref="Q110:Q112"/>
    <mergeCell ref="Q114:Q116"/>
    <mergeCell ref="Q117:Q119"/>
    <mergeCell ref="Q121:Q123"/>
    <mergeCell ref="Q124:Q126"/>
    <mergeCell ref="Q152:Q154"/>
    <mergeCell ref="Q156:Q158"/>
    <mergeCell ref="Q159:Q161"/>
    <mergeCell ref="Q128:Q130"/>
    <mergeCell ref="Q131:Q133"/>
    <mergeCell ref="Q135:Q137"/>
    <mergeCell ref="Q138:Q140"/>
    <mergeCell ref="Q142:Q144"/>
    <mergeCell ref="Q145:Q147"/>
    <mergeCell ref="Q149:Q151"/>
    <mergeCell ref="K37:K39"/>
    <mergeCell ref="K40:K42"/>
    <mergeCell ref="K44:K46"/>
    <mergeCell ref="K47:K49"/>
    <mergeCell ref="K51:K53"/>
    <mergeCell ref="K54:K56"/>
    <mergeCell ref="K58:K60"/>
    <mergeCell ref="K61:K63"/>
    <mergeCell ref="K65:K67"/>
    <mergeCell ref="K79:K81"/>
    <mergeCell ref="K82:K84"/>
    <mergeCell ref="K86:K88"/>
    <mergeCell ref="K89:K91"/>
    <mergeCell ref="K93:K95"/>
    <mergeCell ref="K96:K98"/>
    <mergeCell ref="K100:K102"/>
    <mergeCell ref="K103:K105"/>
    <mergeCell ref="K107:K109"/>
    <mergeCell ref="K110:K112"/>
    <mergeCell ref="K114:K116"/>
    <mergeCell ref="K117:K119"/>
    <mergeCell ref="K145:K147"/>
    <mergeCell ref="K149:K151"/>
    <mergeCell ref="K152:K154"/>
    <mergeCell ref="K156:K158"/>
    <mergeCell ref="K159:K161"/>
    <mergeCell ref="K121:K123"/>
    <mergeCell ref="K124:K126"/>
    <mergeCell ref="K128:K130"/>
    <mergeCell ref="K131:K133"/>
    <mergeCell ref="K135:K137"/>
    <mergeCell ref="K138:K140"/>
    <mergeCell ref="K142:K144"/>
    <mergeCell ref="G65:G67"/>
    <mergeCell ref="G68:G70"/>
    <mergeCell ref="G40:G42"/>
    <mergeCell ref="G44:G46"/>
    <mergeCell ref="G47:G49"/>
    <mergeCell ref="G51:G53"/>
    <mergeCell ref="G54:G56"/>
    <mergeCell ref="G58:G60"/>
    <mergeCell ref="G61:G63"/>
    <mergeCell ref="E75:E77"/>
    <mergeCell ref="E79:E81"/>
    <mergeCell ref="E82:E84"/>
    <mergeCell ref="E58:E60"/>
    <mergeCell ref="E61:E63"/>
    <mergeCell ref="E65:E67"/>
    <mergeCell ref="E68:E70"/>
    <mergeCell ref="E72:E74"/>
    <mergeCell ref="G72:G74"/>
    <mergeCell ref="G75:G77"/>
    <mergeCell ref="O65:O67"/>
    <mergeCell ref="O68:O70"/>
    <mergeCell ref="O72:O74"/>
    <mergeCell ref="O75:O77"/>
    <mergeCell ref="O79:O81"/>
    <mergeCell ref="O82:O84"/>
    <mergeCell ref="O86:O88"/>
    <mergeCell ref="O89:O91"/>
    <mergeCell ref="O93:O95"/>
    <mergeCell ref="M96:M98"/>
    <mergeCell ref="O96:O98"/>
    <mergeCell ref="M100:M102"/>
    <mergeCell ref="O100:O102"/>
    <mergeCell ref="O103:O105"/>
    <mergeCell ref="M103:M105"/>
    <mergeCell ref="M107:M109"/>
    <mergeCell ref="M110:M112"/>
    <mergeCell ref="M114:M116"/>
    <mergeCell ref="M117:M119"/>
    <mergeCell ref="M121:M123"/>
    <mergeCell ref="M124:M126"/>
    <mergeCell ref="O107:O109"/>
    <mergeCell ref="O110:O112"/>
    <mergeCell ref="O114:O116"/>
    <mergeCell ref="O117:O119"/>
    <mergeCell ref="O121:O123"/>
    <mergeCell ref="O124:O126"/>
    <mergeCell ref="O128:O130"/>
    <mergeCell ref="M152:M154"/>
    <mergeCell ref="M156:M158"/>
    <mergeCell ref="M159:M161"/>
    <mergeCell ref="M128:M130"/>
    <mergeCell ref="M131:M133"/>
    <mergeCell ref="M135:M137"/>
    <mergeCell ref="M138:M140"/>
    <mergeCell ref="M142:M144"/>
    <mergeCell ref="M145:M147"/>
    <mergeCell ref="M149:M151"/>
    <mergeCell ref="O156:O158"/>
    <mergeCell ref="O159:O161"/>
    <mergeCell ref="O131:O133"/>
    <mergeCell ref="O135:O137"/>
    <mergeCell ref="O138:O140"/>
    <mergeCell ref="O142:O144"/>
    <mergeCell ref="O145:O147"/>
    <mergeCell ref="O149:O151"/>
    <mergeCell ref="O152:O154"/>
    <mergeCell ref="G79:G81"/>
    <mergeCell ref="G82:G84"/>
    <mergeCell ref="E86:E88"/>
    <mergeCell ref="G86:G88"/>
    <mergeCell ref="E89:E91"/>
    <mergeCell ref="G89:G91"/>
    <mergeCell ref="G93:G95"/>
    <mergeCell ref="G96:G98"/>
    <mergeCell ref="E93:E95"/>
    <mergeCell ref="E96:E98"/>
    <mergeCell ref="I96:I98"/>
    <mergeCell ref="I100:I102"/>
    <mergeCell ref="I103:I105"/>
    <mergeCell ref="I107:I109"/>
    <mergeCell ref="I110:I112"/>
    <mergeCell ref="I114:I116"/>
    <mergeCell ref="I117:I119"/>
    <mergeCell ref="I121:I123"/>
    <mergeCell ref="I124:I126"/>
    <mergeCell ref="I128:I130"/>
    <mergeCell ref="I131:I133"/>
    <mergeCell ref="I135:I137"/>
    <mergeCell ref="I163:I165"/>
    <mergeCell ref="I166:I168"/>
    <mergeCell ref="I138:I140"/>
    <mergeCell ref="I142:I144"/>
    <mergeCell ref="I145:I147"/>
    <mergeCell ref="I149:I151"/>
    <mergeCell ref="I152:I154"/>
    <mergeCell ref="I156:I158"/>
    <mergeCell ref="I159:I16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6"/>
      <c r="B1" s="8" t="s">
        <v>10</v>
      </c>
      <c r="C1" s="10" t="s">
        <v>14</v>
      </c>
      <c r="D1" s="8" t="s">
        <v>18</v>
      </c>
      <c r="E1" s="10" t="s">
        <v>22</v>
      </c>
      <c r="F1" s="8" t="s">
        <v>25</v>
      </c>
      <c r="G1" s="10" t="s">
        <v>31</v>
      </c>
      <c r="H1" s="8" t="s">
        <v>34</v>
      </c>
      <c r="I1" s="10" t="s">
        <v>36</v>
      </c>
      <c r="J1" s="8" t="s">
        <v>38</v>
      </c>
      <c r="K1" s="10" t="s">
        <v>40</v>
      </c>
      <c r="L1" s="8" t="s">
        <v>42</v>
      </c>
      <c r="M1" s="10" t="s">
        <v>44</v>
      </c>
      <c r="N1" s="8" t="s">
        <v>42</v>
      </c>
      <c r="O1" s="10" t="s">
        <v>48</v>
      </c>
      <c r="P1" s="8" t="s">
        <v>49</v>
      </c>
      <c r="Q1" s="10" t="s">
        <v>50</v>
      </c>
      <c r="R1" s="14"/>
    </row>
    <row r="2" ht="26.25" customHeight="1">
      <c r="A2" s="15"/>
      <c r="B2" s="16" t="str">
        <f>image("https://i.imgur.com/VQL4lPa.png")</f>
        <v/>
      </c>
      <c r="C2" s="20" t="str">
        <f>image("https://pokejungle.net/sprites/normal/"&amp;B1&amp;".png")</f>
        <v/>
      </c>
      <c r="D2" s="16" t="str">
        <f>image("https://i.imgur.com/VQL4lPa.png")</f>
        <v/>
      </c>
      <c r="E2" s="20" t="str">
        <f>image("https://pokejungle.net/sprites/normal/"&amp;D1&amp;".png")</f>
        <v/>
      </c>
      <c r="F2" s="16" t="str">
        <f>image("https://i.imgur.com/VQL4lPa.png")</f>
        <v/>
      </c>
      <c r="G2" s="20" t="str">
        <f>image("https://pokejungle.net/sprites/normal/"&amp;F1&amp;".png")</f>
        <v/>
      </c>
      <c r="H2" s="24" t="str">
        <f>image("https://i.imgur.com/RqSOGo6.png")</f>
        <v/>
      </c>
      <c r="I2" s="20" t="str">
        <f>image("https://pokejungle.net/sprites/normal/"&amp;H1&amp;".png")</f>
        <v/>
      </c>
      <c r="J2" s="16" t="str">
        <f>image("https://i.imgur.com/RqSOGo6.png")</f>
        <v/>
      </c>
      <c r="K2" s="20" t="str">
        <f>image("https://pokejungle.net/sprites/normal/"&amp;J1&amp;".png")</f>
        <v/>
      </c>
      <c r="L2" s="28" t="str">
        <f>image("https://i.imgur.com/RqSOGo6.png")</f>
        <v/>
      </c>
      <c r="M2" s="20" t="str">
        <f>image("https://pokejungle.net/sprites/normal/"&amp;L1&amp;".png")</f>
        <v/>
      </c>
      <c r="N2" s="16" t="str">
        <f>image("https://i.imgur.com/XI18XGu.png")</f>
        <v/>
      </c>
      <c r="O2" s="20" t="str">
        <f>image("https://pokejungle.net/sprites/normal/"&amp;N1&amp;"-1.png")</f>
        <v/>
      </c>
      <c r="P2" s="16" t="str">
        <f>image("https://i.imgur.com/ef1o2lD.png")</f>
        <v/>
      </c>
      <c r="Q2" s="20" t="str">
        <f>image("https://pokejungle.net/sprites/normal/"&amp;P1&amp;".png")</f>
        <v/>
      </c>
      <c r="R2" s="33"/>
    </row>
    <row r="3" ht="26.25" customHeight="1">
      <c r="A3" s="15"/>
      <c r="B3" s="38" t="str">
        <f>image("https://i.imgur.com/XIu6jDl.png")</f>
        <v/>
      </c>
      <c r="C3" s="36"/>
      <c r="D3" s="35" t="str">
        <f>image("https://i.imgur.com/XIu6jDl.png")</f>
        <v/>
      </c>
      <c r="E3" s="36"/>
      <c r="F3" s="35" t="str">
        <f>image("https://i.imgur.com/XIu6jDl.png")</f>
        <v/>
      </c>
      <c r="G3" s="36"/>
      <c r="H3" s="37" t="str">
        <f>image("https://i.imgur.com/rJhTvoD.png")</f>
        <v/>
      </c>
      <c r="I3" s="36"/>
      <c r="J3" s="38" t="str">
        <f>image("https://i.imgur.com/rJhTvoD.png")</f>
        <v/>
      </c>
      <c r="K3" s="36"/>
      <c r="L3" s="35" t="str">
        <f>image("https://i.imgur.com/rJhTvoD.png")</f>
        <v/>
      </c>
      <c r="M3" s="36"/>
      <c r="N3" s="38" t="str">
        <f>image("https://i.imgur.com/SF5CZ6U.png")</f>
        <v/>
      </c>
      <c r="O3" s="36"/>
      <c r="P3" s="38" t="str">
        <f>image("https://i.imgur.com/zpybKax.png")</f>
        <v/>
      </c>
      <c r="Q3" s="36"/>
      <c r="R3" s="33"/>
    </row>
    <row r="4" ht="26.25" customHeight="1">
      <c r="A4" s="15"/>
      <c r="B4" s="40"/>
      <c r="C4" s="41"/>
      <c r="D4" s="40"/>
      <c r="E4" s="41"/>
      <c r="F4" s="43" t="str">
        <f>image("https://i.imgur.com/a9HBljD.png")</f>
        <v/>
      </c>
      <c r="G4" s="41"/>
      <c r="H4" s="40"/>
      <c r="I4" s="41"/>
      <c r="J4" s="40"/>
      <c r="K4" s="41"/>
      <c r="L4" s="43"/>
      <c r="M4" s="41"/>
      <c r="N4" s="40" t="str">
        <f>image("https://i.imgur.com/nNTmuH8.png")</f>
        <v/>
      </c>
      <c r="O4" s="41"/>
      <c r="P4" s="40" t="str">
        <f>image("https://i.imgur.com/SF5CZ6U.png")</f>
        <v/>
      </c>
      <c r="Q4" s="41"/>
      <c r="R4" s="33"/>
    </row>
    <row r="5" ht="26.25" customHeight="1">
      <c r="A5" s="15"/>
      <c r="B5" s="16" t="str">
        <f>image("https://i.imgur.com/EkqYYOB.png")</f>
        <v/>
      </c>
      <c r="C5" s="20" t="str">
        <f>image("https://pokejungle.net/sprites/shiny/"&amp;B1&amp;".png")</f>
        <v/>
      </c>
      <c r="D5" s="16" t="str">
        <f>image("https://i.imgur.com/EkqYYOB.png")</f>
        <v/>
      </c>
      <c r="E5" s="20" t="str">
        <f>image("https://pokejungle.net/sprites/shiny/"&amp;D1&amp;".png")</f>
        <v/>
      </c>
      <c r="F5" s="16" t="str">
        <f>image("https://i.imgur.com/EkqYYOB.png")</f>
        <v/>
      </c>
      <c r="G5" s="20" t="str">
        <f>image("https://pokejungle.net/sprites/shiny/"&amp;F1&amp;"-f.png")</f>
        <v/>
      </c>
      <c r="H5" s="16" t="str">
        <f>image("https://i.imgur.com/EkqYYOB.png")</f>
        <v/>
      </c>
      <c r="I5" s="20" t="str">
        <f>image("https://pokejungle.net/sprites/shiny/"&amp;H1&amp;".png")</f>
        <v/>
      </c>
      <c r="J5" s="16" t="str">
        <f>image("https://i.imgur.com/EkqYYOB.png")</f>
        <v/>
      </c>
      <c r="K5" s="20" t="str">
        <f>image("https://pokejungle.net/sprites/shiny/"&amp;J1&amp;".png")</f>
        <v/>
      </c>
      <c r="L5" s="16" t="str">
        <f>image("https://i.imgur.com/EkqYYOB.png")</f>
        <v/>
      </c>
      <c r="M5" s="20" t="str">
        <f>image("https://pokejungle.net/sprites/shiny/"&amp;L1&amp;".png")</f>
        <v/>
      </c>
      <c r="N5" s="16" t="str">
        <f>image("https://i.imgur.com/XI18XGu.png")</f>
        <v/>
      </c>
      <c r="O5" s="20" t="str">
        <f>image("https://pokejungle.net/sprites/shiny/"&amp;N1&amp;"-1.png")</f>
        <v/>
      </c>
      <c r="P5" s="16" t="str">
        <f>image("https://i.imgur.com/XNzvO0H.png")</f>
        <v/>
      </c>
      <c r="Q5" s="20" t="str">
        <f>image("https://pokejungle.net/sprites/shiny/"&amp;P1&amp;".png")</f>
        <v/>
      </c>
      <c r="R5" s="33"/>
    </row>
    <row r="6" ht="26.25" customHeight="1">
      <c r="A6" s="15"/>
      <c r="B6" s="38" t="str">
        <f>image("https://i.imgur.com/beHgI95.png")</f>
        <v/>
      </c>
      <c r="C6" s="36"/>
      <c r="D6" s="46" t="str">
        <f>image("https://i.imgur.com/beHgI95.png")</f>
        <v/>
      </c>
      <c r="E6" s="36"/>
      <c r="F6" s="35" t="str">
        <f>image("https://i.imgur.com/beHgI95.png")</f>
        <v/>
      </c>
      <c r="G6" s="36"/>
      <c r="H6" s="46" t="str">
        <f>image("https://i.imgur.com/rJhTvoD.png")</f>
        <v/>
      </c>
      <c r="I6" s="36"/>
      <c r="J6" s="38" t="str">
        <f>image("https://i.imgur.com/rJhTvoD.png")</f>
        <v/>
      </c>
      <c r="K6" s="36"/>
      <c r="L6" s="46" t="str">
        <f>image("https://i.imgur.com/rJhTvoD.png")</f>
        <v/>
      </c>
      <c r="M6" s="36"/>
      <c r="N6" s="38" t="str">
        <f>image("https://i.imgur.com/SF5CZ6U.png")</f>
        <v/>
      </c>
      <c r="O6" s="36"/>
      <c r="P6" s="38" t="str">
        <f>image("https://i.imgur.com/zpybKax.png")</f>
        <v/>
      </c>
      <c r="Q6" s="36"/>
      <c r="R6" s="33"/>
    </row>
    <row r="7" ht="26.25" customHeight="1">
      <c r="A7" s="15"/>
      <c r="B7" s="40"/>
      <c r="C7" s="41"/>
      <c r="D7" s="43"/>
      <c r="E7" s="41"/>
      <c r="F7" s="40"/>
      <c r="G7" s="41"/>
      <c r="H7" s="43"/>
      <c r="I7" s="41"/>
      <c r="J7" s="40"/>
      <c r="K7" s="41"/>
      <c r="L7" s="43"/>
      <c r="M7" s="41"/>
      <c r="N7" s="40" t="str">
        <f>image("https://i.imgur.com/JDgAgAO.png")</f>
        <v/>
      </c>
      <c r="O7" s="41"/>
      <c r="P7" s="40"/>
      <c r="Q7" s="41"/>
      <c r="R7" s="33"/>
    </row>
    <row r="8" ht="18.75" customHeight="1">
      <c r="A8" s="6"/>
      <c r="B8" s="8" t="s">
        <v>81</v>
      </c>
      <c r="C8" s="10" t="s">
        <v>83</v>
      </c>
      <c r="D8" s="8" t="s">
        <v>85</v>
      </c>
      <c r="E8" s="10" t="s">
        <v>87</v>
      </c>
      <c r="F8" s="8" t="s">
        <v>89</v>
      </c>
      <c r="G8" s="10" t="s">
        <v>91</v>
      </c>
      <c r="H8" s="8" t="s">
        <v>92</v>
      </c>
      <c r="I8" s="10" t="s">
        <v>93</v>
      </c>
      <c r="J8" s="8" t="s">
        <v>94</v>
      </c>
      <c r="K8" s="10" t="s">
        <v>95</v>
      </c>
      <c r="L8" s="8" t="s">
        <v>96</v>
      </c>
      <c r="M8" s="10" t="s">
        <v>97</v>
      </c>
      <c r="N8" s="8" t="s">
        <v>98</v>
      </c>
      <c r="O8" s="10" t="s">
        <v>99</v>
      </c>
      <c r="P8" s="8" t="s">
        <v>100</v>
      </c>
      <c r="Q8" s="10" t="s">
        <v>101</v>
      </c>
      <c r="R8" s="14"/>
    </row>
    <row r="9" ht="26.25" customHeight="1">
      <c r="A9" s="15"/>
      <c r="B9" s="16" t="str">
        <f>image("https://i.imgur.com/ef1o2lD.png")</f>
        <v/>
      </c>
      <c r="C9" s="20" t="str">
        <f>image("https://pokejungle.net/sprites/normal/"&amp;B8&amp;".png")</f>
        <v/>
      </c>
      <c r="D9" s="16" t="str">
        <f>image("https://i.imgur.com/ef1o2lD.png")</f>
        <v/>
      </c>
      <c r="E9" s="20" t="str">
        <f>image("https://pokejungle.net/sprites/normal/"&amp;D8&amp;".png")</f>
        <v/>
      </c>
      <c r="F9" s="16" t="str">
        <f>image("https://i.imgur.com/XIu6jDl.png")</f>
        <v/>
      </c>
      <c r="G9" s="20" t="str">
        <f>image("https://pokejungle.net/sprites/normal/"&amp;F8&amp;".png")</f>
        <v/>
      </c>
      <c r="H9" s="24" t="str">
        <f>image("https://i.imgur.com/XIu6jDl.png")</f>
        <v/>
      </c>
      <c r="I9" s="20" t="str">
        <f>image("https://pokejungle.net/sprites/normal/"&amp;H8&amp;".png")</f>
        <v/>
      </c>
      <c r="J9" s="16" t="str">
        <f>image("https://i.imgur.com/JOd7Boe.png")</f>
        <v/>
      </c>
      <c r="K9" s="20" t="str">
        <f>image("https://pokejungle.net/sprites/normal/"&amp;J8&amp;".png")</f>
        <v/>
      </c>
      <c r="L9" s="28" t="str">
        <f>image("https://i.imgur.com/JOd7Boe.png")</f>
        <v/>
      </c>
      <c r="M9" s="20" t="str">
        <f>image("https://pokejungle.net/sprites/normal/"&amp;L8&amp;".png")</f>
        <v/>
      </c>
      <c r="N9" s="16" t="str">
        <f>image("https://i.imgur.com/JOd7Boe.png")</f>
        <v/>
      </c>
      <c r="O9" s="20" t="str">
        <f>image("https://pokejungle.net/sprites/normal/"&amp;N8&amp;"-f.png")</f>
        <v/>
      </c>
      <c r="P9" s="16" t="str">
        <f>image("https://i.imgur.com/JOd7Boe.png")</f>
        <v/>
      </c>
      <c r="Q9" s="20" t="str">
        <f>image("https://pokejungle.net/sprites/normal/"&amp;P8&amp;"-f.png")</f>
        <v/>
      </c>
      <c r="R9" s="33"/>
    </row>
    <row r="10" ht="26.25" customHeight="1">
      <c r="A10" s="15"/>
      <c r="B10" s="38" t="str">
        <f>image("https://i.imgur.com/zpybKax.png")</f>
        <v/>
      </c>
      <c r="C10" s="36"/>
      <c r="D10" s="35" t="str">
        <f>image("https://i.imgur.com/zpybKax.png")</f>
        <v/>
      </c>
      <c r="E10" s="36"/>
      <c r="F10" s="35"/>
      <c r="G10" s="36"/>
      <c r="H10" s="37"/>
      <c r="I10" s="36"/>
      <c r="J10" s="38" t="str">
        <f>image("https://i.imgur.com/EkqYYOB.png")</f>
        <v/>
      </c>
      <c r="K10" s="36"/>
      <c r="L10" s="35" t="str">
        <f>image("https://i.imgur.com/EkqYYOB.png")</f>
        <v/>
      </c>
      <c r="M10" s="36"/>
      <c r="N10" s="46" t="str">
        <f>image("https://i.imgur.com/rJhTvoD.png")</f>
        <v/>
      </c>
      <c r="O10" s="36"/>
      <c r="P10" s="46" t="str">
        <f>image("https://i.imgur.com/rJhTvoD.png")</f>
        <v/>
      </c>
      <c r="Q10" s="36"/>
      <c r="R10" s="33"/>
    </row>
    <row r="11" ht="26.25" customHeight="1">
      <c r="A11" s="15"/>
      <c r="B11" s="40" t="str">
        <f>image("https://i.imgur.com/SF5CZ6U.png")</f>
        <v/>
      </c>
      <c r="C11" s="41"/>
      <c r="D11" s="40" t="str">
        <f>image("https://i.imgur.com/SF5CZ6U.png")</f>
        <v/>
      </c>
      <c r="E11" s="41"/>
      <c r="F11" s="40"/>
      <c r="G11" s="41"/>
      <c r="H11" s="40"/>
      <c r="I11" s="41"/>
      <c r="J11" s="40" t="str">
        <f>image("https://i.imgur.com/XIu6jDl.png")</f>
        <v/>
      </c>
      <c r="K11" s="41"/>
      <c r="L11" s="43" t="str">
        <f>image("https://i.imgur.com/XIu6jDl.png")</f>
        <v/>
      </c>
      <c r="M11" s="41"/>
      <c r="N11" s="40" t="str">
        <f>image("https://i.imgur.com/bxys1sd.png")</f>
        <v/>
      </c>
      <c r="O11" s="41"/>
      <c r="P11" s="40" t="str">
        <f>image("https://i.imgur.com/bxys1sd.png")</f>
        <v/>
      </c>
      <c r="Q11" s="41"/>
      <c r="R11" s="33"/>
    </row>
    <row r="12" ht="26.25" customHeight="1">
      <c r="A12" s="15"/>
      <c r="B12" s="16" t="str">
        <f>image("https://i.imgur.com/XNzvO0H.png")</f>
        <v/>
      </c>
      <c r="C12" s="20" t="str">
        <f>image("https://pokejungle.net/sprites/shiny/"&amp;B8&amp;".png")</f>
        <v/>
      </c>
      <c r="D12" s="16" t="str">
        <f>image("https://i.imgur.com/XNzvO0H.png")</f>
        <v/>
      </c>
      <c r="E12" s="20" t="str">
        <f>image("https://pokejungle.net/sprites/shiny/"&amp;D8&amp;".png")</f>
        <v/>
      </c>
      <c r="F12" s="16" t="str">
        <f>image("https://i.imgur.com/XIu6jDl.png")</f>
        <v/>
      </c>
      <c r="G12" s="20" t="str">
        <f>image("https://pokejungle.net/sprites/shiny/"&amp;F8&amp;".png")</f>
        <v/>
      </c>
      <c r="H12" s="16" t="str">
        <f>image("https://i.imgur.com/a9HBljD.png")</f>
        <v/>
      </c>
      <c r="I12" s="20" t="str">
        <f>image("https://pokejungle.net/sprites/shiny/"&amp;H8&amp;".png")</f>
        <v/>
      </c>
      <c r="J12" s="16" t="str">
        <f>image("https://i.imgur.com/EkqYYOB.png")</f>
        <v/>
      </c>
      <c r="K12" s="20" t="str">
        <f>image("https://pokejungle.net/sprites/shiny/"&amp;J8&amp;".png")</f>
        <v/>
      </c>
      <c r="L12" s="16" t="str">
        <f>image("https://i.imgur.com/EkqYYOB.png")</f>
        <v/>
      </c>
      <c r="M12" s="20" t="str">
        <f>image("https://pokejungle.net/sprites/shiny/"&amp;L8&amp;".png")</f>
        <v/>
      </c>
      <c r="N12" s="16" t="str">
        <f>image("https://i.imgur.com/rJhTvoD.png")</f>
        <v/>
      </c>
      <c r="O12" s="20" t="str">
        <f>image("https://pokejungle.net/sprites/shiny/"&amp;N8&amp;".png")</f>
        <v/>
      </c>
      <c r="P12" s="16" t="str">
        <f>image("https://i.imgur.com/rJhTvoD.png")</f>
        <v/>
      </c>
      <c r="Q12" s="20" t="str">
        <f>image("https://pokejungle.net/sprites/shiny/"&amp;P8&amp;".png")</f>
        <v/>
      </c>
      <c r="R12" s="33"/>
    </row>
    <row r="13" ht="26.25" customHeight="1">
      <c r="A13" s="15"/>
      <c r="B13" s="38" t="str">
        <f>image("https://i.imgur.com/zpybKax.png")</f>
        <v/>
      </c>
      <c r="C13" s="36"/>
      <c r="D13" s="46" t="str">
        <f>image("https://i.imgur.com/zpybKax.png")</f>
        <v/>
      </c>
      <c r="E13" s="36"/>
      <c r="F13" s="35" t="str">
        <f>image("https://i.imgur.com/rJhTvoD.png")</f>
        <v/>
      </c>
      <c r="G13" s="36"/>
      <c r="H13" s="46" t="str">
        <f>image("https://i.imgur.com/rAI9Gyi.png")</f>
        <v/>
      </c>
      <c r="I13" s="36"/>
      <c r="J13" s="38" t="str">
        <f>image("https://i.imgur.com/rJhTvoD.png")</f>
        <v/>
      </c>
      <c r="K13" s="36"/>
      <c r="L13" s="46" t="str">
        <f>image("https://i.imgur.com/rJhTvoD.png")</f>
        <v/>
      </c>
      <c r="M13" s="36"/>
      <c r="N13" s="38" t="str">
        <f>image("https://i.imgur.com/RqSOGo6.png")</f>
        <v/>
      </c>
      <c r="O13" s="36"/>
      <c r="P13" s="38" t="str">
        <f>image("https://i.imgur.com/RqSOGo6.png")</f>
        <v/>
      </c>
      <c r="Q13" s="36"/>
      <c r="R13" s="33"/>
    </row>
    <row r="14" ht="26.25" customHeight="1">
      <c r="A14" s="15"/>
      <c r="B14" s="40"/>
      <c r="C14" s="41"/>
      <c r="D14" s="43"/>
      <c r="E14" s="41"/>
      <c r="F14" s="40" t="str">
        <f>image("https://i.imgur.com/EkqYYOB.png")</f>
        <v/>
      </c>
      <c r="G14" s="41"/>
      <c r="H14" s="43"/>
      <c r="I14" s="41"/>
      <c r="J14" s="40"/>
      <c r="K14" s="41"/>
      <c r="L14" s="43"/>
      <c r="M14" s="41"/>
      <c r="N14" s="40"/>
      <c r="O14" s="41"/>
      <c r="P14" s="40"/>
      <c r="Q14" s="41"/>
      <c r="R14" s="33"/>
    </row>
    <row r="15" ht="18.75" customHeight="1">
      <c r="A15" s="6"/>
      <c r="B15" s="8" t="s">
        <v>139</v>
      </c>
      <c r="C15" s="10" t="s">
        <v>140</v>
      </c>
      <c r="D15" s="8" t="s">
        <v>141</v>
      </c>
      <c r="E15" s="10" t="s">
        <v>142</v>
      </c>
      <c r="F15" s="8" t="s">
        <v>143</v>
      </c>
      <c r="G15" s="10" t="s">
        <v>144</v>
      </c>
      <c r="H15" s="8" t="s">
        <v>145</v>
      </c>
      <c r="I15" s="10" t="s">
        <v>146</v>
      </c>
      <c r="J15" s="8" t="s">
        <v>147</v>
      </c>
      <c r="K15" s="10" t="s">
        <v>149</v>
      </c>
      <c r="L15" s="8" t="s">
        <v>150</v>
      </c>
      <c r="M15" s="10" t="s">
        <v>152</v>
      </c>
      <c r="N15" s="8" t="s">
        <v>153</v>
      </c>
      <c r="O15" s="10" t="s">
        <v>155</v>
      </c>
      <c r="P15" s="8" t="s">
        <v>158</v>
      </c>
      <c r="Q15" s="10" t="s">
        <v>159</v>
      </c>
      <c r="R15" s="14"/>
    </row>
    <row r="16" ht="26.25" customHeight="1">
      <c r="A16" s="15"/>
      <c r="B16" s="16" t="str">
        <f>image("https://i.imgur.com/VQL4lPa.png")</f>
        <v/>
      </c>
      <c r="C16" s="20" t="str">
        <f>image("https://pokejungle.net/sprites/normal/"&amp;B15&amp;".png")</f>
        <v/>
      </c>
      <c r="D16" s="16" t="str">
        <f>image("https://i.imgur.com/RqSOGo6.png")</f>
        <v/>
      </c>
      <c r="E16" s="20" t="str">
        <f>image("https://pokejungle.net/sprites/normal/"&amp;D15&amp;".png")</f>
        <v/>
      </c>
      <c r="F16" s="16" t="str">
        <f>image("https://i.imgur.com/JDgAgAO.png")</f>
        <v/>
      </c>
      <c r="G16" s="20" t="str">
        <f>image("https://pokejungle.net/sprites/normal/"&amp;F15&amp;".png")</f>
        <v/>
      </c>
      <c r="H16" s="24" t="str">
        <f>image("https://i.imgur.com/zpybKax.png")</f>
        <v/>
      </c>
      <c r="I16" s="20" t="str">
        <f>image("https://pokejungle.net/sprites/normal/"&amp;H15&amp;".png")</f>
        <v/>
      </c>
      <c r="J16" s="16" t="str">
        <f>image("https://i.imgur.com/zpybKax.png")</f>
        <v/>
      </c>
      <c r="K16" s="20" t="str">
        <f>image("https://pokejungle.net/sprites/normal/"&amp;J15&amp;".png")</f>
        <v/>
      </c>
      <c r="L16" s="28" t="str">
        <f>image("https://i.imgur.com/beHgI95.png")</f>
        <v/>
      </c>
      <c r="M16" s="20" t="str">
        <f>image("https://pokejungle.net/sprites/normal/"&amp;L15&amp;".png")</f>
        <v/>
      </c>
      <c r="N16" s="16" t="str">
        <f>image("https://i.imgur.com/a9HBljD.png")</f>
        <v/>
      </c>
      <c r="O16" s="20" t="str">
        <f>image("https://pokejungle.net/sprites/normal/"&amp;N15&amp;".png")</f>
        <v/>
      </c>
      <c r="P16" s="28" t="str">
        <f>image("https://i.imgur.com/XI18XGu.png")</f>
        <v/>
      </c>
      <c r="Q16" s="20" t="str">
        <f>image("https://pokejungle.net/sprites/normal/"&amp;P15&amp;".png")</f>
        <v/>
      </c>
      <c r="R16" s="33"/>
    </row>
    <row r="17" ht="26.25" customHeight="1">
      <c r="A17" s="15"/>
      <c r="B17" s="38" t="str">
        <f>image("https://i.imgur.com/XIu6jDl.png")</f>
        <v/>
      </c>
      <c r="C17" s="36"/>
      <c r="D17" s="35" t="str">
        <f>image("https://i.imgur.com/rJhTvoD.png")</f>
        <v/>
      </c>
      <c r="E17" s="36"/>
      <c r="F17" s="35" t="str">
        <f>image("https://i.imgur.com/XI18XGu.png")</f>
        <v/>
      </c>
      <c r="G17" s="36"/>
      <c r="H17" s="37" t="str">
        <f>image("https://i.imgur.com/XNzvO0H.png")</f>
        <v/>
      </c>
      <c r="I17" s="36"/>
      <c r="J17" s="38" t="str">
        <f>image("https://i.imgur.com/XNzvO0H.png")</f>
        <v/>
      </c>
      <c r="K17" s="36"/>
      <c r="L17" s="35" t="str">
        <f>image("https://i.imgur.com/rJhTvoD.png")</f>
        <v/>
      </c>
      <c r="M17" s="36"/>
      <c r="N17" s="38" t="str">
        <f>image("https://i.imgur.com/rAI9Gyi.png")</f>
        <v/>
      </c>
      <c r="O17" s="36"/>
      <c r="P17" s="35" t="str">
        <f>image("https://i.imgur.com/a9HBljD.png")</f>
        <v/>
      </c>
      <c r="Q17" s="36"/>
      <c r="R17" s="33"/>
    </row>
    <row r="18" ht="26.25" customHeight="1">
      <c r="A18" s="15"/>
      <c r="B18" s="40"/>
      <c r="C18" s="41"/>
      <c r="D18" s="40"/>
      <c r="E18" s="41"/>
      <c r="F18" s="40" t="str">
        <f>image("https://i.imgur.com/N2Wqr43.png")</f>
        <v/>
      </c>
      <c r="G18" s="41"/>
      <c r="H18" s="40"/>
      <c r="I18" s="41"/>
      <c r="J18" s="40"/>
      <c r="K18" s="41"/>
      <c r="L18" s="43"/>
      <c r="M18" s="41"/>
      <c r="N18" s="40" t="str">
        <f>image("https://i.imgur.com/JDgAgAO.png")</f>
        <v/>
      </c>
      <c r="O18" s="41"/>
      <c r="P18" s="43" t="str">
        <f>image("https://i.imgur.com/rAI9Gyi.png")</f>
        <v/>
      </c>
      <c r="Q18" s="41"/>
      <c r="R18" s="33"/>
    </row>
    <row r="19" ht="26.25" customHeight="1">
      <c r="A19" s="15"/>
      <c r="B19" s="16" t="str">
        <f>image("https://i.imgur.com/SF5CZ6U.png")</f>
        <v/>
      </c>
      <c r="C19" s="20" t="str">
        <f>image("https://pokejungle.net/sprites/shiny/"&amp;B15&amp;".png")</f>
        <v/>
      </c>
      <c r="D19" s="16" t="str">
        <f>image("https://i.imgur.com/rAI9Gyi.png")</f>
        <v/>
      </c>
      <c r="E19" s="20" t="str">
        <f>image("https://pokejungle.net/sprites/shiny/"&amp;D15&amp;".png")</f>
        <v/>
      </c>
      <c r="F19" s="16" t="str">
        <f>image("https://i.imgur.com/rAI9Gyi.png")</f>
        <v/>
      </c>
      <c r="G19" s="20" t="str">
        <f>image("https://pokejungle.net/sprites/shiny/"&amp;F15&amp;".png")</f>
        <v/>
      </c>
      <c r="H19" s="16" t="str">
        <f>image("https://i.imgur.com/zpybKax.png")</f>
        <v/>
      </c>
      <c r="I19" s="20" t="str">
        <f>image("https://pokejungle.net/sprites/shiny/"&amp;H15&amp;".png")</f>
        <v/>
      </c>
      <c r="J19" s="16" t="str">
        <f>image("https://i.imgur.com/zpybKax.png")</f>
        <v/>
      </c>
      <c r="K19" s="20" t="str">
        <f>image("https://pokejungle.net/sprites/shiny/"&amp;J15&amp;".png")</f>
        <v/>
      </c>
      <c r="L19" s="16" t="str">
        <f>image("https://i.imgur.com/beHgI95.png")</f>
        <v/>
      </c>
      <c r="M19" s="20" t="str">
        <f>image("https://pokejungle.net/sprites/shiny/"&amp;L15&amp;".png")</f>
        <v/>
      </c>
      <c r="N19" s="16" t="str">
        <f>image("https://i.imgur.com/a9HBljD.png")</f>
        <v/>
      </c>
      <c r="O19" s="20" t="str">
        <f>image("https://pokejungle.net/sprites/shiny/"&amp;N15&amp;".png")</f>
        <v/>
      </c>
      <c r="P19" s="28" t="str">
        <f>image("https://i.imgur.com/XI18XGu.png")</f>
        <v/>
      </c>
      <c r="Q19" s="20" t="str">
        <f>image("https://pokejungle.net/sprites/shiny/"&amp;P15&amp;".png")</f>
        <v/>
      </c>
      <c r="R19" s="33"/>
    </row>
    <row r="20" ht="26.25" customHeight="1">
      <c r="A20" s="15"/>
      <c r="B20" s="38" t="str">
        <f>image("https://i.imgur.com/rAI9Gyi.png")</f>
        <v/>
      </c>
      <c r="C20" s="36"/>
      <c r="D20" s="38" t="str">
        <f>image("https://i.imgur.com/zpybKax.png")</f>
        <v/>
      </c>
      <c r="E20" s="36"/>
      <c r="F20" s="35"/>
      <c r="G20" s="36"/>
      <c r="H20" s="46" t="str">
        <f>image("https://i.imgur.com/XNzvO0H.png")</f>
        <v/>
      </c>
      <c r="I20" s="36"/>
      <c r="J20" s="38" t="str">
        <f>image("https://i.imgur.com/XNzvO0H.png")</f>
        <v/>
      </c>
      <c r="K20" s="36"/>
      <c r="L20" s="46" t="str">
        <f>image("https://i.imgur.com/rJhTvoD.png")</f>
        <v/>
      </c>
      <c r="M20" s="36"/>
      <c r="N20" s="38" t="str">
        <f>image("https://i.imgur.com/rAI9Gyi.png")</f>
        <v/>
      </c>
      <c r="O20" s="36"/>
      <c r="P20" s="35" t="str">
        <f>image("https://i.imgur.com/a9HBljD.png")</f>
        <v/>
      </c>
      <c r="Q20" s="36"/>
      <c r="R20" s="33"/>
    </row>
    <row r="21" ht="26.25" customHeight="1">
      <c r="A21" s="15"/>
      <c r="B21" s="40" t="str">
        <f>image("https://i.imgur.com/XNzvO0H.png")</f>
        <v/>
      </c>
      <c r="C21" s="41"/>
      <c r="D21" s="40" t="str">
        <f>image("https://i.imgur.com/JDgAgAO.png")</f>
        <v/>
      </c>
      <c r="E21" s="41"/>
      <c r="F21" s="40"/>
      <c r="G21" s="41"/>
      <c r="H21" s="43"/>
      <c r="I21" s="41"/>
      <c r="J21" s="40" t="str">
        <f>image("https://i.imgur.com/rAI9Gyi.png")</f>
        <v/>
      </c>
      <c r="K21" s="41"/>
      <c r="L21" s="43"/>
      <c r="M21" s="41"/>
      <c r="N21" s="40" t="str">
        <f>image("https://i.imgur.com/JDgAgAO.png")</f>
        <v/>
      </c>
      <c r="O21" s="41"/>
      <c r="P21" s="43" t="str">
        <f>image("https://i.imgur.com/rAI9Gyi.png")</f>
        <v/>
      </c>
      <c r="Q21" s="41"/>
      <c r="R21" s="33"/>
    </row>
    <row r="22" ht="18.75" customHeight="1">
      <c r="A22" s="6"/>
      <c r="B22" s="8" t="s">
        <v>200</v>
      </c>
      <c r="C22" s="10" t="s">
        <v>202</v>
      </c>
      <c r="D22" s="8" t="s">
        <v>205</v>
      </c>
      <c r="E22" s="10" t="s">
        <v>206</v>
      </c>
      <c r="F22" s="8" t="s">
        <v>208</v>
      </c>
      <c r="G22" s="10" t="s">
        <v>210</v>
      </c>
      <c r="H22" s="8" t="s">
        <v>211</v>
      </c>
      <c r="I22" s="10" t="s">
        <v>213</v>
      </c>
      <c r="J22" s="8" t="s">
        <v>215</v>
      </c>
      <c r="K22" s="10" t="s">
        <v>217</v>
      </c>
      <c r="L22" s="8" t="s">
        <v>219</v>
      </c>
      <c r="M22" s="10" t="s">
        <v>220</v>
      </c>
      <c r="N22" s="8" t="s">
        <v>221</v>
      </c>
      <c r="O22" s="10" t="s">
        <v>222</v>
      </c>
      <c r="P22" s="8" t="s">
        <v>223</v>
      </c>
      <c r="Q22" s="10" t="s">
        <v>224</v>
      </c>
      <c r="R22" s="14"/>
    </row>
    <row r="23" ht="26.25" customHeight="1">
      <c r="A23" s="15"/>
      <c r="B23" s="16" t="str">
        <f>image("https://i.imgur.com/0ArMZjJ.png")</f>
        <v/>
      </c>
      <c r="C23" s="20" t="str">
        <f>image("https://pokejungle.net/sprites/normal/"&amp;B22&amp;".png")</f>
        <v/>
      </c>
      <c r="D23" s="16" t="str">
        <f>image("https://i.imgur.com/0ArMZjJ.png")</f>
        <v/>
      </c>
      <c r="E23" s="20" t="str">
        <f>image("https://pokejungle.net/sprites/normal/"&amp;D22&amp;".png")</f>
        <v/>
      </c>
      <c r="F23" s="16" t="str">
        <f>image("https://i.imgur.com/VQL4lPa.png")</f>
        <v/>
      </c>
      <c r="G23" s="20" t="str">
        <f>image("https://pokejungle.net/sprites/normal/"&amp;F22&amp;".png")</f>
        <v/>
      </c>
      <c r="H23" s="24" t="str">
        <f>image("https://i.imgur.com/JOd7Boe.png")</f>
        <v/>
      </c>
      <c r="I23" s="20" t="str">
        <f>image("https://pokejungle.net/sprites/normal/"&amp;H22&amp;".png")</f>
        <v/>
      </c>
      <c r="J23" s="16" t="str">
        <f>image("https://i.imgur.com/zpybKax.png")</f>
        <v/>
      </c>
      <c r="K23" s="20" t="str">
        <f>image("https://pokejungle.net/sprites/normal/"&amp;J22&amp;".png")</f>
        <v/>
      </c>
      <c r="L23" s="28" t="str">
        <f>image("https://i.imgur.com/a9HBljD.png")</f>
        <v/>
      </c>
      <c r="M23" s="20" t="str">
        <f>image("https://pokejungle.net/sprites/normal/"&amp;L22&amp;".png")</f>
        <v/>
      </c>
      <c r="N23" s="16" t="str">
        <f>image("https://i.imgur.com/beHgI95.png")</f>
        <v/>
      </c>
      <c r="O23" s="20" t="str">
        <f>image("https://pokejungle.net/sprites/normal/"&amp;N22&amp;".png")</f>
        <v/>
      </c>
      <c r="P23" s="16" t="str">
        <f>image("https://i.imgur.com/VQL4lPa.png")</f>
        <v/>
      </c>
      <c r="Q23" s="20" t="str">
        <f>image("https://pokejungle.net/sprites/normal/"&amp;P22&amp;".png")</f>
        <v/>
      </c>
      <c r="R23" s="33"/>
    </row>
    <row r="24" ht="26.25" customHeight="1">
      <c r="A24" s="15"/>
      <c r="B24" s="38" t="str">
        <f>image("https://i.imgur.com/SF5CZ6U.png")</f>
        <v/>
      </c>
      <c r="C24" s="36"/>
      <c r="D24" s="35" t="str">
        <f>image("https://i.imgur.com/SF5CZ6U.png")</f>
        <v/>
      </c>
      <c r="E24" s="36"/>
      <c r="F24" s="35" t="str">
        <f>image("https://i.imgur.com/JOd7Boe.png")</f>
        <v/>
      </c>
      <c r="G24" s="36"/>
      <c r="H24" s="37" t="str">
        <f>image("https://i.imgur.com/VQL4lPa.png")</f>
        <v/>
      </c>
      <c r="I24" s="36"/>
      <c r="J24" s="38" t="str">
        <f>image("https://i.imgur.com/beHgI95.png")</f>
        <v/>
      </c>
      <c r="K24" s="36"/>
      <c r="L24" s="35" t="str">
        <f>image("https://i.imgur.com/rAI9Gyi.png")</f>
        <v/>
      </c>
      <c r="M24" s="36"/>
      <c r="N24" s="38" t="str">
        <f>image("https://i.imgur.com/rJhTvoD.png")</f>
        <v/>
      </c>
      <c r="O24" s="36"/>
      <c r="P24" s="38" t="str">
        <f>image("https://i.imgur.com/XIu6jDl.png")</f>
        <v/>
      </c>
      <c r="Q24" s="36"/>
      <c r="R24" s="33"/>
    </row>
    <row r="25" ht="26.25" customHeight="1">
      <c r="A25" s="15"/>
      <c r="B25" s="40"/>
      <c r="C25" s="41"/>
      <c r="D25" s="40"/>
      <c r="E25" s="41"/>
      <c r="F25" s="40" t="str">
        <f>image("https://i.imgur.com/N2Wqr43.png")</f>
        <v/>
      </c>
      <c r="G25" s="41"/>
      <c r="H25" s="40" t="str">
        <f>image("https://i.imgur.com/N2Wqr43.png")</f>
        <v/>
      </c>
      <c r="I25" s="41"/>
      <c r="J25" s="40"/>
      <c r="K25" s="41"/>
      <c r="L25" s="43"/>
      <c r="M25" s="41"/>
      <c r="N25" s="40" t="str">
        <f>image("https://i.imgur.com/lKAfx6k.png")</f>
        <v/>
      </c>
      <c r="O25" s="41"/>
      <c r="P25" s="40"/>
      <c r="Q25" s="41"/>
      <c r="R25" s="33"/>
    </row>
    <row r="26" ht="26.25" customHeight="1">
      <c r="A26" s="15"/>
      <c r="B26" s="16" t="str">
        <f>image("https://i.imgur.com/0ArMZjJ.png")</f>
        <v/>
      </c>
      <c r="C26" s="20" t="str">
        <f>image("https://pokejungle.net/sprites/shiny/"&amp;B22&amp;".png")</f>
        <v/>
      </c>
      <c r="D26" s="16" t="str">
        <f>image("https://i.imgur.com/0ArMZjJ.png")</f>
        <v/>
      </c>
      <c r="E26" s="20" t="str">
        <f>image("https://pokejungle.net/sprites/shiny/"&amp;D22&amp;".png")</f>
        <v/>
      </c>
      <c r="F26" s="16" t="str">
        <f>image("https://i.imgur.com/VQL4lPa.png")</f>
        <v/>
      </c>
      <c r="G26" s="20" t="str">
        <f>image("https://pokejungle.net/sprites/shiny/"&amp;F22&amp;".png")</f>
        <v/>
      </c>
      <c r="H26" s="16" t="str">
        <f>image("https://i.imgur.com/VQL4lPa.png")</f>
        <v/>
      </c>
      <c r="I26" s="20" t="str">
        <f>image("https://pokejungle.net/sprites/shiny/"&amp;H22&amp;"-f.png")</f>
        <v/>
      </c>
      <c r="J26" s="16" t="str">
        <f>image("https://i.imgur.com/rAI9Gyi.png")</f>
        <v/>
      </c>
      <c r="K26" s="20" t="str">
        <f>image("https://pokejungle.net/sprites/shiny/"&amp;J22&amp;".png")</f>
        <v/>
      </c>
      <c r="L26" s="16" t="str">
        <f>image("https://i.imgur.com/a9HBljD.png")</f>
        <v/>
      </c>
      <c r="M26" s="20" t="str">
        <f>image("https://pokejungle.net/sprites/shiny/"&amp;L22&amp;".png")</f>
        <v/>
      </c>
      <c r="N26" s="16" t="str">
        <f>image("https://i.imgur.com/a9HBljD.png")</f>
        <v/>
      </c>
      <c r="O26" s="20" t="str">
        <f>image("https://pokejungle.net/sprites/shiny/"&amp;N22&amp;".png")</f>
        <v/>
      </c>
      <c r="P26" s="16" t="str">
        <f>image("https://i.imgur.com/rAI9Gyi.png")</f>
        <v/>
      </c>
      <c r="Q26" s="20" t="str">
        <f>image("https://pokejungle.net/sprites/shiny/"&amp;P22&amp;".png")</f>
        <v/>
      </c>
      <c r="R26" s="33"/>
    </row>
    <row r="27" ht="26.25" customHeight="1">
      <c r="A27" s="15"/>
      <c r="B27" s="38" t="str">
        <f>image("https://i.imgur.com/SF5CZ6U.png")</f>
        <v/>
      </c>
      <c r="C27" s="36"/>
      <c r="D27" s="46" t="str">
        <f>image("https://i.imgur.com/SF5CZ6U.png")</f>
        <v/>
      </c>
      <c r="E27" s="36"/>
      <c r="F27" s="35" t="str">
        <f>image("https://i.imgur.com/EkqYYOB.png")</f>
        <v/>
      </c>
      <c r="G27" s="36"/>
      <c r="H27" s="46" t="str">
        <f>image("https://i.imgur.com/JOd7Boe.png")</f>
        <v/>
      </c>
      <c r="I27" s="36"/>
      <c r="J27" s="38"/>
      <c r="K27" s="36"/>
      <c r="L27" s="46" t="str">
        <f>image("https://i.imgur.com/rAI9Gyi.png")</f>
        <v/>
      </c>
      <c r="M27" s="36"/>
      <c r="N27" s="38" t="str">
        <f>image("https://i.imgur.com/rAI9Gyi.png")</f>
        <v/>
      </c>
      <c r="O27" s="36"/>
      <c r="P27" s="38" t="str">
        <f>image("https://i.imgur.com/XI18XGu.png")</f>
        <v/>
      </c>
      <c r="Q27" s="36"/>
      <c r="R27" s="33"/>
    </row>
    <row r="28" ht="26.25" customHeight="1">
      <c r="A28" s="15"/>
      <c r="B28" s="40"/>
      <c r="C28" s="41"/>
      <c r="D28" s="43"/>
      <c r="E28" s="41"/>
      <c r="F28" s="40" t="str">
        <f>image("https://i.imgur.com/N2Wqr43.png")</f>
        <v/>
      </c>
      <c r="G28" s="41"/>
      <c r="H28" s="43" t="str">
        <f>image("https://i.imgur.com/N2Wqr43.png")</f>
        <v/>
      </c>
      <c r="I28" s="41"/>
      <c r="J28" s="40"/>
      <c r="K28" s="41"/>
      <c r="L28" s="43"/>
      <c r="M28" s="41"/>
      <c r="N28" s="40" t="str">
        <f>image("https://i.imgur.com/XI18XGu.png")</f>
        <v/>
      </c>
      <c r="O28" s="41"/>
      <c r="P28" s="40"/>
      <c r="Q28" s="41"/>
      <c r="R28" s="33"/>
    </row>
    <row r="29" ht="18.75" customHeight="1">
      <c r="A29" s="6"/>
      <c r="B29" s="8" t="s">
        <v>270</v>
      </c>
      <c r="C29" s="10" t="s">
        <v>271</v>
      </c>
      <c r="D29" s="8" t="s">
        <v>272</v>
      </c>
      <c r="E29" s="10" t="s">
        <v>273</v>
      </c>
      <c r="F29" s="8" t="s">
        <v>274</v>
      </c>
      <c r="G29" s="10" t="s">
        <v>275</v>
      </c>
      <c r="H29" s="8" t="s">
        <v>276</v>
      </c>
      <c r="I29" s="10" t="s">
        <v>277</v>
      </c>
      <c r="J29" s="8" t="s">
        <v>278</v>
      </c>
      <c r="K29" s="10" t="s">
        <v>279</v>
      </c>
      <c r="L29" s="8" t="s">
        <v>280</v>
      </c>
      <c r="M29" s="10" t="s">
        <v>281</v>
      </c>
      <c r="N29" s="8" t="s">
        <v>282</v>
      </c>
      <c r="O29" s="10" t="s">
        <v>283</v>
      </c>
      <c r="P29" s="8" t="s">
        <v>284</v>
      </c>
      <c r="Q29" s="10" t="s">
        <v>285</v>
      </c>
      <c r="R29" s="14"/>
    </row>
    <row r="30" ht="26.25" customHeight="1">
      <c r="A30" s="15"/>
      <c r="B30" s="16" t="str">
        <f>image("https://i.imgur.com/XNzvO0H.png")</f>
        <v/>
      </c>
      <c r="C30" s="20" t="str">
        <f>image("https://pokejungle.net/sprites/normal/"&amp;B29&amp;".png")</f>
        <v/>
      </c>
      <c r="D30" s="16" t="str">
        <f>image("https://i.imgur.com/XNzvO0H.png")</f>
        <v/>
      </c>
      <c r="E30" s="20" t="str">
        <f>image("https://pokejungle.net/sprites/normal/"&amp;D29&amp;".png")</f>
        <v/>
      </c>
      <c r="F30" s="16" t="str">
        <f>image("https://i.imgur.com/XIu6jDl.png")</f>
        <v/>
      </c>
      <c r="G30" s="20" t="str">
        <f>image("https://pokejungle.net/sprites/normal/"&amp;F29&amp;"-f.png")</f>
        <v/>
      </c>
      <c r="H30" s="24" t="str">
        <f>image("https://i.imgur.com/XIu6jDl.png")</f>
        <v/>
      </c>
      <c r="I30" s="20" t="str">
        <f>image("https://pokejungle.net/sprites/normal/"&amp;H29&amp;".png")</f>
        <v/>
      </c>
      <c r="J30" s="16" t="str">
        <f>image("https://i.imgur.com/rAI9Gyi.png")</f>
        <v/>
      </c>
      <c r="K30" s="20" t="str">
        <f>image("https://pokejungle.net/sprites/normal/"&amp;J29&amp;".png")</f>
        <v/>
      </c>
      <c r="L30" s="28" t="str">
        <f>image("https://i.imgur.com/XIu6jDl.png")</f>
        <v/>
      </c>
      <c r="M30" s="20" t="str">
        <f>image("https://pokejungle.net/sprites/normal/"&amp;L29&amp;".png")</f>
        <v/>
      </c>
      <c r="N30" s="16" t="str">
        <f>image("https://i.imgur.com/SF5CZ6U.png")</f>
        <v/>
      </c>
      <c r="O30" s="20" t="str">
        <f>image("https://pokejungle.net/sprites/normal/"&amp;N29&amp;".png")</f>
        <v/>
      </c>
      <c r="P30" s="16" t="str">
        <f>image("https://i.imgur.com/rAI9Gyi.png")</f>
        <v/>
      </c>
      <c r="Q30" s="20" t="str">
        <f>image("https://pokejungle.net/sprites/normal/"&amp;P29&amp;"-f.png")</f>
        <v/>
      </c>
      <c r="R30" s="33"/>
    </row>
    <row r="31" ht="26.25" customHeight="1">
      <c r="A31" s="15"/>
      <c r="B31" s="38" t="str">
        <f>image("https://i.imgur.com/SF5CZ6U.png")</f>
        <v/>
      </c>
      <c r="C31" s="36"/>
      <c r="D31" s="35" t="str">
        <f>image("https://i.imgur.com/SF5CZ6U.png")</f>
        <v/>
      </c>
      <c r="E31" s="36"/>
      <c r="F31" s="35" t="str">
        <f>image("https://i.imgur.com/lpOVjtL.png")</f>
        <v/>
      </c>
      <c r="G31" s="36"/>
      <c r="H31" s="37" t="str">
        <f>image("https://i.imgur.com/VQL4lPa.png")</f>
        <v/>
      </c>
      <c r="I31" s="36"/>
      <c r="J31" s="38"/>
      <c r="K31" s="36"/>
      <c r="L31" s="35" t="str">
        <f>image("https://i.imgur.com/VQL4lPa.png")</f>
        <v/>
      </c>
      <c r="M31" s="36"/>
      <c r="N31" s="38"/>
      <c r="O31" s="36"/>
      <c r="P31" s="38" t="str">
        <f>image("https://i.imgur.com/XI18XGu.png")</f>
        <v/>
      </c>
      <c r="Q31" s="36"/>
      <c r="R31" s="33"/>
    </row>
    <row r="32" ht="26.25" customHeight="1">
      <c r="A32" s="15"/>
      <c r="B32" s="40"/>
      <c r="C32" s="41"/>
      <c r="D32" s="40"/>
      <c r="E32" s="41"/>
      <c r="F32" s="40"/>
      <c r="G32" s="41"/>
      <c r="H32" s="40"/>
      <c r="I32" s="41"/>
      <c r="J32" s="40"/>
      <c r="K32" s="41"/>
      <c r="L32" s="43"/>
      <c r="M32" s="41"/>
      <c r="N32" s="40"/>
      <c r="O32" s="41"/>
      <c r="P32" s="40"/>
      <c r="Q32" s="41"/>
      <c r="R32" s="33"/>
    </row>
    <row r="33" ht="26.25" customHeight="1">
      <c r="A33" s="15"/>
      <c r="B33" s="16" t="str">
        <f>image("https://i.imgur.com/VQL4lPa.png")</f>
        <v/>
      </c>
      <c r="C33" s="20" t="str">
        <f>image("https://pokejungle.net/sprites/shiny/"&amp;B29&amp;".png")</f>
        <v/>
      </c>
      <c r="D33" s="16" t="str">
        <f>image("https://i.imgur.com/rJhTvoD.png")</f>
        <v/>
      </c>
      <c r="E33" s="20" t="str">
        <f>image("https://pokejungle.net/sprites/shiny/"&amp;D29&amp;".png")</f>
        <v/>
      </c>
      <c r="F33" s="16" t="str">
        <f>image("https://i.imgur.com/rJhTvoD.png")</f>
        <v/>
      </c>
      <c r="G33" s="20" t="str">
        <f>image("https://pokejungle.net/sprites/shiny/"&amp;F29&amp;".png")</f>
        <v/>
      </c>
      <c r="H33" s="16" t="str">
        <f>image("https://i.imgur.com/rAI9Gyi.png")</f>
        <v/>
      </c>
      <c r="I33" s="20" t="str">
        <f>image("https://pokejungle.net/sprites/shiny/"&amp;H29&amp;"-f.png")</f>
        <v/>
      </c>
      <c r="J33" s="16" t="str">
        <f>image("https://i.imgur.com/XIu6jDl.png")</f>
        <v/>
      </c>
      <c r="K33" s="20" t="str">
        <f>image("https://pokejungle.net/sprites/shiny/"&amp;J29&amp;".png")</f>
        <v/>
      </c>
      <c r="L33" s="16" t="str">
        <f>image("https://i.imgur.com/rAI9Gyi.png")</f>
        <v/>
      </c>
      <c r="M33" s="20" t="str">
        <f>image("https://pokejungle.net/sprites/shiny/"&amp;L29&amp;".png")</f>
        <v/>
      </c>
      <c r="N33" s="16" t="str">
        <f>image("https://i.imgur.com/a9HBljD.png")</f>
        <v/>
      </c>
      <c r="O33" s="20" t="str">
        <f>image("https://pokejungle.net/sprites/shiny/"&amp;N29&amp;".png")</f>
        <v/>
      </c>
      <c r="P33" s="16" t="str">
        <f>image("https://i.imgur.com/a9HBljD.png")</f>
        <v/>
      </c>
      <c r="Q33" s="20" t="str">
        <f>image("https://pokejungle.net/sprites/shiny/"&amp;P29&amp;".png")</f>
        <v/>
      </c>
      <c r="R33" s="33"/>
    </row>
    <row r="34" ht="26.25" customHeight="1">
      <c r="A34" s="15"/>
      <c r="B34" s="38" t="str">
        <f>image("https://i.imgur.com/XIu6jDl.png")</f>
        <v/>
      </c>
      <c r="C34" s="36"/>
      <c r="D34" s="46" t="str">
        <f>image("https://i.imgur.com/EkqYYOB.png")</f>
        <v/>
      </c>
      <c r="E34" s="36"/>
      <c r="F34" s="35" t="str">
        <f>image("https://i.imgur.com/EkqYYOB.png")</f>
        <v/>
      </c>
      <c r="G34" s="36"/>
      <c r="H34" s="46" t="str">
        <f>image("https://i.imgur.com/SF5CZ6U.png")</f>
        <v/>
      </c>
      <c r="I34" s="36"/>
      <c r="J34" s="38" t="str">
        <f>image("https://i.imgur.com/VQL4lPa.png")</f>
        <v/>
      </c>
      <c r="K34" s="36"/>
      <c r="L34" s="46" t="str">
        <f>image("https://i.imgur.com/a9HBljD.png")</f>
        <v/>
      </c>
      <c r="M34" s="36"/>
      <c r="N34" s="38" t="str">
        <f>image("https://i.imgur.com/XI18XGu.png")</f>
        <v/>
      </c>
      <c r="O34" s="36"/>
      <c r="P34" s="38" t="str">
        <f>image("https://i.imgur.com/rAI9Gyi.png")</f>
        <v/>
      </c>
      <c r="Q34" s="36"/>
      <c r="R34" s="33"/>
    </row>
    <row r="35" ht="26.25" customHeight="1">
      <c r="A35" s="15"/>
      <c r="B35" s="40"/>
      <c r="C35" s="41"/>
      <c r="D35" s="43"/>
      <c r="E35" s="41"/>
      <c r="F35" s="43" t="str">
        <f>image("https://i.imgur.com/VQL4lPa.png")</f>
        <v/>
      </c>
      <c r="G35" s="41"/>
      <c r="H35" s="43"/>
      <c r="I35" s="41"/>
      <c r="J35" s="40"/>
      <c r="K35" s="41"/>
      <c r="L35" s="43"/>
      <c r="M35" s="41"/>
      <c r="N35" s="40" t="str">
        <f>image("https://i.imgur.com/rAI9Gyi.png")</f>
        <v/>
      </c>
      <c r="O35" s="41"/>
      <c r="P35" s="40"/>
      <c r="Q35" s="41"/>
      <c r="R35" s="33"/>
    </row>
    <row r="36" ht="18.75" customHeight="1">
      <c r="A36" s="6"/>
      <c r="B36" s="8" t="s">
        <v>348</v>
      </c>
      <c r="C36" s="10" t="s">
        <v>349</v>
      </c>
      <c r="D36" s="8" t="s">
        <v>350</v>
      </c>
      <c r="E36" s="10" t="s">
        <v>351</v>
      </c>
      <c r="F36" s="8" t="s">
        <v>352</v>
      </c>
      <c r="G36" s="10" t="s">
        <v>353</v>
      </c>
      <c r="H36" s="8" t="s">
        <v>354</v>
      </c>
      <c r="I36" s="10" t="s">
        <v>355</v>
      </c>
      <c r="J36" s="8" t="s">
        <v>354</v>
      </c>
      <c r="K36" s="10" t="s">
        <v>356</v>
      </c>
      <c r="L36" s="8" t="s">
        <v>357</v>
      </c>
      <c r="M36" s="10" t="s">
        <v>358</v>
      </c>
      <c r="N36" s="8" t="s">
        <v>359</v>
      </c>
      <c r="O36" s="10" t="s">
        <v>360</v>
      </c>
      <c r="P36" s="8" t="s">
        <v>361</v>
      </c>
      <c r="Q36" s="10" t="s">
        <v>362</v>
      </c>
      <c r="R36" s="14"/>
    </row>
    <row r="37" ht="26.25" customHeight="1">
      <c r="A37" s="15"/>
      <c r="B37" s="16" t="str">
        <f>image("https://i.imgur.com/beHgI95.png")</f>
        <v/>
      </c>
      <c r="C37" s="20" t="str">
        <f>image("https://pokejungle.net/sprites/normal/"&amp;B36&amp;".png")</f>
        <v/>
      </c>
      <c r="D37" s="16" t="str">
        <f>image("https://i.imgur.com/XIu6jDl.png")</f>
        <v/>
      </c>
      <c r="E37" s="20" t="str">
        <f>image("https://pokejungle.net/sprites/normal/"&amp;D36&amp;".png")</f>
        <v/>
      </c>
      <c r="F37" s="16" t="str">
        <f>image("https://i.imgur.com/VQL4lPa.png")</f>
        <v/>
      </c>
      <c r="G37" s="20" t="str">
        <f>image("https://pokejungle.net/sprites/normal/"&amp;F36&amp;".png")</f>
        <v/>
      </c>
      <c r="H37" s="24" t="str">
        <f>image("https://i.imgur.com/XNzvO0H.png")</f>
        <v/>
      </c>
      <c r="I37" s="20" t="str">
        <f>image("https://pokejungle.net/sprites/normal/"&amp;H36&amp;".png")</f>
        <v/>
      </c>
      <c r="J37" s="16" t="str">
        <f>image("https://i.imgur.com/lpOVjtL.png")</f>
        <v/>
      </c>
      <c r="K37" s="20" t="str">
        <f>image("https://pokejungle.net/sprites/normal/"&amp;J36&amp;"-1.png")</f>
        <v/>
      </c>
      <c r="L37" s="28" t="str">
        <f>image("https://i.imgur.com/XNzvO0H.png")</f>
        <v/>
      </c>
      <c r="M37" s="20" t="str">
        <f>image("https://pokejungle.net/sprites/normal/"&amp;L36&amp;".png")</f>
        <v/>
      </c>
      <c r="N37" s="16" t="str">
        <f>image("https://i.imgur.com/XI18XGu.png")</f>
        <v/>
      </c>
      <c r="O37" s="20" t="str">
        <f>image("https://pokejungle.net/sprites/normal/"&amp;N36&amp;".png")</f>
        <v/>
      </c>
      <c r="P37" s="16" t="str">
        <f>image("https://i.imgur.com/JDgAgAO.png")</f>
        <v/>
      </c>
      <c r="Q37" s="20" t="str">
        <f>image("https://pokejungle.net/sprites/normal/"&amp;P36&amp;".png")</f>
        <v/>
      </c>
      <c r="R37" s="33"/>
    </row>
    <row r="38" ht="26.25" customHeight="1">
      <c r="A38" s="15"/>
      <c r="B38" s="38" t="str">
        <f>image("https://i.imgur.com/XIu6jDl.png")</f>
        <v/>
      </c>
      <c r="C38" s="36"/>
      <c r="D38" s="35" t="str">
        <f>image("https://i.imgur.com/beHgI95.png")</f>
        <v/>
      </c>
      <c r="E38" s="36"/>
      <c r="F38" s="35" t="str">
        <f>image("https://i.imgur.com/N2Wqr43.png")</f>
        <v/>
      </c>
      <c r="G38" s="36"/>
      <c r="H38" s="37"/>
      <c r="I38" s="36"/>
      <c r="J38" s="38" t="str">
        <f>image("https://i.imgur.com/XIu6jDl.png")</f>
        <v/>
      </c>
      <c r="K38" s="36"/>
      <c r="L38" s="35"/>
      <c r="M38" s="36"/>
      <c r="N38" s="38" t="str">
        <f>image("https://i.imgur.com/rAI9Gyi.png")</f>
        <v/>
      </c>
      <c r="O38" s="36"/>
      <c r="P38" s="38" t="str">
        <f>image("https://i.imgur.com/beHgI95.png")</f>
        <v/>
      </c>
      <c r="Q38" s="36"/>
      <c r="R38" s="33"/>
    </row>
    <row r="39" ht="26.25" customHeight="1">
      <c r="A39" s="15"/>
      <c r="B39" s="40"/>
      <c r="C39" s="41"/>
      <c r="D39" s="40"/>
      <c r="E39" s="41"/>
      <c r="F39" s="40"/>
      <c r="G39" s="41"/>
      <c r="H39" s="40"/>
      <c r="I39" s="41"/>
      <c r="J39" s="40"/>
      <c r="K39" s="41"/>
      <c r="L39" s="43"/>
      <c r="M39" s="41"/>
      <c r="N39" s="40"/>
      <c r="O39" s="41"/>
      <c r="P39" s="40" t="str">
        <f>image("https://i.imgur.com/EkqYYOB.png")</f>
        <v/>
      </c>
      <c r="Q39" s="41"/>
      <c r="R39" s="33"/>
    </row>
    <row r="40" ht="26.25" customHeight="1">
      <c r="A40" s="15"/>
      <c r="B40" s="16" t="str">
        <f>image("https://i.imgur.com/beHgI95.png")</f>
        <v/>
      </c>
      <c r="C40" s="20" t="str">
        <f>image("https://pokejungle.net/sprites/shiny/"&amp;B36&amp;".png")</f>
        <v/>
      </c>
      <c r="D40" s="16" t="str">
        <f>image("https://i.imgur.com/XIu6jDl.png")</f>
        <v/>
      </c>
      <c r="E40" s="20" t="str">
        <f>image("https://pokejungle.net/sprites/shiny/"&amp;D36&amp;".png")</f>
        <v/>
      </c>
      <c r="F40" s="16" t="str">
        <f>image("https://i.imgur.com/XzidFHI.png")</f>
        <v/>
      </c>
      <c r="G40" s="20" t="str">
        <f>image("https://pokejungle.net/sprites/shiny/"&amp;F36&amp;".png")</f>
        <v/>
      </c>
      <c r="H40" s="16" t="str">
        <f>image("https://i.imgur.com/rAI9Gyi.png")</f>
        <v/>
      </c>
      <c r="I40" s="20" t="str">
        <f>image("https://pokejungle.net/sprites/shiny/"&amp;H36&amp;"-f.png")</f>
        <v/>
      </c>
      <c r="J40" s="16" t="str">
        <f>image("https://i.imgur.com/XI18XGu.png")</f>
        <v/>
      </c>
      <c r="K40" s="20" t="str">
        <f>image("https://pokejungle.net/sprites/shiny/"&amp;J36&amp;"-1.png")</f>
        <v/>
      </c>
      <c r="L40" s="16" t="str">
        <f>image("https://i.imgur.com/XI18XGu.png")</f>
        <v/>
      </c>
      <c r="M40" s="20" t="str">
        <f>image("https://pokejungle.net/sprites/shiny/"&amp;L36&amp;"-f.png")</f>
        <v/>
      </c>
      <c r="N40" s="16" t="str">
        <f>image("https://i.imgur.com/VQL4lPa.png")</f>
        <v/>
      </c>
      <c r="O40" s="20" t="str">
        <f>image("https://pokejungle.net/sprites/shiny/"&amp;N36&amp;".png")</f>
        <v/>
      </c>
      <c r="P40" s="16" t="str">
        <f>image("https://i.imgur.com/JDgAgAO.png")</f>
        <v/>
      </c>
      <c r="Q40" s="20" t="str">
        <f>image("https://pokejungle.net/sprites/shiny/"&amp;P36&amp;".png")</f>
        <v/>
      </c>
      <c r="R40" s="33"/>
    </row>
    <row r="41" ht="26.25" customHeight="1">
      <c r="A41" s="15"/>
      <c r="B41" s="38" t="str">
        <f>image("https://i.imgur.com/XIu6jDl.png")</f>
        <v/>
      </c>
      <c r="C41" s="36"/>
      <c r="D41" s="46"/>
      <c r="E41" s="36"/>
      <c r="F41" s="35" t="str">
        <f>image("https://i.imgur.com/SF5CZ6U.png")</f>
        <v/>
      </c>
      <c r="G41" s="36"/>
      <c r="H41" s="46" t="str">
        <f>image("https://i.imgur.com/a9HBljD.png")</f>
        <v/>
      </c>
      <c r="I41" s="36"/>
      <c r="J41" s="38" t="str">
        <f>image("https://i.imgur.com/rAI9Gyi.png")</f>
        <v/>
      </c>
      <c r="K41" s="36"/>
      <c r="L41" s="46" t="str">
        <f>image("https://i.imgur.com/rAI9Gyi.png")</f>
        <v/>
      </c>
      <c r="M41" s="36"/>
      <c r="N41" s="38" t="str">
        <f>image("https://i.imgur.com/XIu6jDl.png")</f>
        <v/>
      </c>
      <c r="O41" s="36"/>
      <c r="P41" s="38" t="str">
        <f>image("https://i.imgur.com/XzidFHI.png")</f>
        <v/>
      </c>
      <c r="Q41" s="36"/>
      <c r="R41" s="33"/>
    </row>
    <row r="42" ht="26.25" customHeight="1">
      <c r="A42" s="15"/>
      <c r="B42" s="40"/>
      <c r="C42" s="41"/>
      <c r="D42" s="43"/>
      <c r="E42" s="41"/>
      <c r="F42" s="40"/>
      <c r="G42" s="41"/>
      <c r="H42" s="43"/>
      <c r="I42" s="41"/>
      <c r="J42" s="40" t="str">
        <f>image("https://i.imgur.com/nNTmuH8.png")</f>
        <v/>
      </c>
      <c r="K42" s="41"/>
      <c r="L42" s="43" t="str">
        <f>image("https://i.imgur.com/a9HBljD.png")</f>
        <v/>
      </c>
      <c r="M42" s="41"/>
      <c r="N42" s="40"/>
      <c r="O42" s="41"/>
      <c r="P42" s="40"/>
      <c r="Q42" s="41"/>
      <c r="R42" s="33"/>
    </row>
    <row r="43" ht="18.75" customHeight="1">
      <c r="A43" s="6"/>
      <c r="B43" s="8" t="s">
        <v>411</v>
      </c>
      <c r="C43" s="10" t="s">
        <v>412</v>
      </c>
      <c r="D43" s="8" t="s">
        <v>413</v>
      </c>
      <c r="E43" s="10" t="s">
        <v>414</v>
      </c>
      <c r="F43" s="8" t="s">
        <v>413</v>
      </c>
      <c r="G43" s="10" t="s">
        <v>415</v>
      </c>
      <c r="H43" s="8" t="s">
        <v>416</v>
      </c>
      <c r="I43" s="10" t="s">
        <v>417</v>
      </c>
      <c r="J43" s="8" t="s">
        <v>418</v>
      </c>
      <c r="K43" s="10" t="s">
        <v>419</v>
      </c>
      <c r="L43" s="8" t="s">
        <v>420</v>
      </c>
      <c r="M43" s="10" t="s">
        <v>421</v>
      </c>
      <c r="N43" s="8" t="s">
        <v>422</v>
      </c>
      <c r="O43" s="10" t="s">
        <v>423</v>
      </c>
      <c r="P43" s="8" t="s">
        <v>424</v>
      </c>
      <c r="Q43" s="10" t="s">
        <v>425</v>
      </c>
      <c r="R43" s="14"/>
    </row>
    <row r="44" ht="26.25" customHeight="1">
      <c r="A44" s="15"/>
      <c r="B44" s="16" t="str">
        <f>image("https://i.imgur.com/JDgAgAO.png")</f>
        <v/>
      </c>
      <c r="C44" s="20" t="str">
        <f>image("https://pokejungle.net/sprites/normal/"&amp;B43&amp;"-f.png")</f>
        <v/>
      </c>
      <c r="D44" s="16" t="str">
        <f>image("https://i.imgur.com/rAI9Gyi.png")</f>
        <v/>
      </c>
      <c r="E44" s="20" t="str">
        <f>image("https://pokejungle.net/sprites/normal/"&amp;D43&amp;".png")</f>
        <v/>
      </c>
      <c r="F44" s="16" t="str">
        <f>image("https://i.imgur.com/XI18XGu.png")</f>
        <v/>
      </c>
      <c r="G44" s="20" t="str">
        <f>image("https://pokejungle.net/sprites/normal/"&amp;F43&amp;"-1.png")</f>
        <v/>
      </c>
      <c r="H44" s="24" t="str">
        <f>image("https://i.imgur.com/SF5CZ6U.png")</f>
        <v/>
      </c>
      <c r="I44" s="20" t="str">
        <f>image("https://pokejungle.net/sprites/normal/"&amp;H43&amp;".png")</f>
        <v/>
      </c>
      <c r="J44" s="16" t="str">
        <f>image("https://i.imgur.com/EkqYYOB.png")</f>
        <v/>
      </c>
      <c r="K44" s="20" t="str">
        <f>image("https://pokejungle.net/sprites/normal/"&amp;J43&amp;".png")</f>
        <v/>
      </c>
      <c r="L44" s="28" t="str">
        <f>image("https://i.imgur.com/XzidFHI.png")</f>
        <v/>
      </c>
      <c r="M44" s="20" t="str">
        <f>image("https://pokejungle.net/sprites/normal/"&amp;L43&amp;".png")</f>
        <v/>
      </c>
      <c r="N44" s="16" t="str">
        <f>image("https://i.imgur.com/beHgI95.png")</f>
        <v/>
      </c>
      <c r="O44" s="20" t="str">
        <f>image("https://pokejungle.net/sprites/normal/"&amp;N43&amp;"-f.png")</f>
        <v/>
      </c>
      <c r="P44" s="16" t="str">
        <f>image("https://i.imgur.com/XzidFHI.png")</f>
        <v/>
      </c>
      <c r="Q44" s="20" t="str">
        <f>image("https://pokejungle.net/sprites/normal/"&amp;P43&amp;".png")</f>
        <v/>
      </c>
      <c r="R44" s="33"/>
    </row>
    <row r="45" ht="26.25" customHeight="1">
      <c r="A45" s="15"/>
      <c r="B45" s="38" t="str">
        <f>image("https://i.imgur.com/beHgI95.png")</f>
        <v/>
      </c>
      <c r="C45" s="36"/>
      <c r="D45" s="35" t="str">
        <f>image("https://i.imgur.com/a9HBljD.png")</f>
        <v/>
      </c>
      <c r="E45" s="36"/>
      <c r="F45" s="35" t="str">
        <f>image("https://i.imgur.com/rAI9Gyi.png")</f>
        <v/>
      </c>
      <c r="G45" s="36"/>
      <c r="H45" s="37" t="str">
        <f>image("https://i.imgur.com/JDgAgAO.png")</f>
        <v/>
      </c>
      <c r="I45" s="36"/>
      <c r="J45" s="38" t="str">
        <f>image("https://i.imgur.com/beHgI95.png")</f>
        <v/>
      </c>
      <c r="K45" s="36"/>
      <c r="L45" s="35" t="str">
        <f>image("https://i.imgur.com/SF5CZ6U.png")</f>
        <v/>
      </c>
      <c r="M45" s="36"/>
      <c r="N45" s="38" t="str">
        <f>image("https://i.imgur.com/rJhTvoD.png")</f>
        <v/>
      </c>
      <c r="O45" s="36"/>
      <c r="P45" s="38"/>
      <c r="Q45" s="36"/>
      <c r="R45" s="33"/>
    </row>
    <row r="46" ht="26.25" customHeight="1">
      <c r="A46" s="15"/>
      <c r="B46" s="40"/>
      <c r="C46" s="41"/>
      <c r="D46" s="40" t="str">
        <f>image("https://i.imgur.com/XI18XGu.png")</f>
        <v/>
      </c>
      <c r="E46" s="41"/>
      <c r="F46" s="40"/>
      <c r="G46" s="41"/>
      <c r="H46" s="40" t="str">
        <f t="shared" ref="H46:H47" si="1">image("https://i.imgur.com/N2Wqr43.png")</f>
        <v/>
      </c>
      <c r="I46" s="41"/>
      <c r="J46" s="40"/>
      <c r="K46" s="41"/>
      <c r="L46" s="43"/>
      <c r="M46" s="41"/>
      <c r="N46" s="40" t="str">
        <f>image("https://i.imgur.com/EkqYYOB.png")</f>
        <v/>
      </c>
      <c r="O46" s="41"/>
      <c r="P46" s="40"/>
      <c r="Q46" s="41"/>
      <c r="R46" s="33"/>
    </row>
    <row r="47" ht="26.25" customHeight="1">
      <c r="A47" s="15"/>
      <c r="B47" s="16" t="str">
        <f>image("https://i.imgur.com/rAI9Gyi.png")</f>
        <v/>
      </c>
      <c r="C47" s="20" t="str">
        <f>image("https://pokejungle.net/sprites/shiny/"&amp;B43&amp;".png")</f>
        <v/>
      </c>
      <c r="D47" s="16" t="str">
        <f>image("https://i.imgur.com/rAI9Gyi.png")</f>
        <v/>
      </c>
      <c r="E47" s="20" t="str">
        <f>image("https://pokejungle.net/sprites/shiny/"&amp;D43&amp;".png")</f>
        <v/>
      </c>
      <c r="F47" s="16" t="str">
        <f>image("https://i.imgur.com/XI18XGu.png")</f>
        <v/>
      </c>
      <c r="G47" s="20" t="str">
        <f>image("https://pokejungle.net/sprites/shiny/"&amp;F43&amp;"-1.png")</f>
        <v/>
      </c>
      <c r="H47" s="16" t="str">
        <f t="shared" si="1"/>
        <v/>
      </c>
      <c r="I47" s="20" t="str">
        <f>image("https://pokejungle.net/sprites/shiny/"&amp;H43&amp;".png")</f>
        <v/>
      </c>
      <c r="J47" s="16" t="str">
        <f>image("https://i.imgur.com/SF5CZ6U.png")</f>
        <v/>
      </c>
      <c r="K47" s="20" t="str">
        <f>image("https://pokejungle.net/sprites/shiny/"&amp;J43&amp;".png")</f>
        <v/>
      </c>
      <c r="L47" s="16" t="str">
        <f>image("https://i.imgur.com/a9HBljD.png")</f>
        <v/>
      </c>
      <c r="M47" s="20" t="str">
        <f>image("https://pokejungle.net/sprites/shiny/"&amp;L43&amp;"-f.png")</f>
        <v/>
      </c>
      <c r="N47" s="16" t="str">
        <f>image("https://i.imgur.com/zpybKax.png")</f>
        <v/>
      </c>
      <c r="O47" s="20" t="str">
        <f>image("https://pokejungle.net/sprites/shiny/"&amp;N43&amp;".png")</f>
        <v/>
      </c>
      <c r="P47" s="16" t="str">
        <f>image("https://i.imgur.com/EkqYYOB.png")</f>
        <v/>
      </c>
      <c r="Q47" s="20" t="str">
        <f>image("https://pokejungle.net/sprites/shiny/"&amp;P43&amp;".png")</f>
        <v/>
      </c>
      <c r="R47" s="33"/>
    </row>
    <row r="48" ht="26.25" customHeight="1">
      <c r="A48" s="15"/>
      <c r="B48" s="38" t="str">
        <f>image("https://i.imgur.com/XI18XGu.png")</f>
        <v/>
      </c>
      <c r="C48" s="36"/>
      <c r="D48" s="46" t="str">
        <f>image("https://i.imgur.com/XI18XGu.png")</f>
        <v/>
      </c>
      <c r="E48" s="36"/>
      <c r="F48" s="35" t="str">
        <f>image("https://i.imgur.com/rAI9Gyi.png")</f>
        <v/>
      </c>
      <c r="G48" s="36"/>
      <c r="H48" s="46" t="str">
        <f>image("https://i.imgur.com/VQL4lPa.png")</f>
        <v/>
      </c>
      <c r="I48" s="36"/>
      <c r="J48" s="38"/>
      <c r="K48" s="36"/>
      <c r="L48" s="46" t="str">
        <f>image("https://i.imgur.com/rAI9Gyi.png")</f>
        <v/>
      </c>
      <c r="M48" s="36"/>
      <c r="N48" s="38" t="str">
        <f>image("https://i.imgur.com/beHgI95.png")</f>
        <v/>
      </c>
      <c r="O48" s="36"/>
      <c r="P48" s="38" t="str">
        <f>image("https://i.imgur.com/rJhTvoD.png")</f>
        <v/>
      </c>
      <c r="Q48" s="36"/>
      <c r="R48" s="33"/>
    </row>
    <row r="49" ht="26.25" customHeight="1">
      <c r="A49" s="15"/>
      <c r="B49" s="40" t="str">
        <f>image("https://i.imgur.com/nNTmuH8.png")</f>
        <v/>
      </c>
      <c r="C49" s="41"/>
      <c r="D49" s="43" t="str">
        <f>image("https://i.imgur.com/SF5CZ6U.png")</f>
        <v/>
      </c>
      <c r="E49" s="41"/>
      <c r="F49" s="40" t="str">
        <f>image("https://i.imgur.com/nNTmuH8.png")</f>
        <v/>
      </c>
      <c r="G49" s="41"/>
      <c r="H49" s="43" t="str">
        <f>image("https://i.imgur.com/EkqYYOB.png")</f>
        <v/>
      </c>
      <c r="I49" s="41"/>
      <c r="J49" s="40"/>
      <c r="K49" s="41"/>
      <c r="L49" s="43" t="str">
        <f>image("https://i.imgur.com/XI18XGu.png")</f>
        <v/>
      </c>
      <c r="M49" s="41"/>
      <c r="N49" s="40"/>
      <c r="O49" s="41"/>
      <c r="P49" s="40" t="str">
        <f>image("https://i.imgur.com/beHgI95.png")</f>
        <v/>
      </c>
      <c r="Q49" s="41"/>
      <c r="R49" s="33"/>
    </row>
    <row r="50" ht="18.75" customHeight="1">
      <c r="A50" s="6"/>
      <c r="B50" s="8" t="s">
        <v>474</v>
      </c>
      <c r="C50" s="10" t="s">
        <v>476</v>
      </c>
      <c r="D50" s="8" t="s">
        <v>479</v>
      </c>
      <c r="E50" s="10" t="s">
        <v>482</v>
      </c>
      <c r="F50" s="8" t="s">
        <v>485</v>
      </c>
      <c r="G50" s="10" t="s">
        <v>488</v>
      </c>
      <c r="H50" s="8" t="s">
        <v>491</v>
      </c>
      <c r="I50" s="10" t="s">
        <v>495</v>
      </c>
      <c r="J50" s="8" t="s">
        <v>498</v>
      </c>
      <c r="K50" s="10" t="s">
        <v>500</v>
      </c>
      <c r="L50" s="8" t="s">
        <v>502</v>
      </c>
      <c r="M50" s="10" t="s">
        <v>504</v>
      </c>
      <c r="N50" s="8" t="s">
        <v>505</v>
      </c>
      <c r="O50" s="10" t="s">
        <v>507</v>
      </c>
      <c r="P50" s="8" t="s">
        <v>505</v>
      </c>
      <c r="Q50" s="10" t="s">
        <v>510</v>
      </c>
      <c r="R50" s="14"/>
    </row>
    <row r="51" ht="26.25" customHeight="1">
      <c r="A51" s="15"/>
      <c r="B51" s="16" t="str">
        <f>image("https://i.imgur.com/JOd7Boe.png")</f>
        <v/>
      </c>
      <c r="C51" s="20" t="str">
        <f>image("https://pokejungle.net/sprites/normal/"&amp;B50&amp;".png")</f>
        <v/>
      </c>
      <c r="D51" s="16" t="str">
        <f>image("https://i.imgur.com/zpybKax.png")</f>
        <v/>
      </c>
      <c r="E51" s="20" t="str">
        <f>image("https://pokejungle.net/sprites/normal/"&amp;D50&amp;".png")</f>
        <v/>
      </c>
      <c r="F51" s="16" t="str">
        <f>image("https://i.imgur.com/rAI9Gyi.png")</f>
        <v/>
      </c>
      <c r="G51" s="20" t="str">
        <f>image("https://pokejungle.net/sprites/normal/"&amp;F50&amp;".png")</f>
        <v/>
      </c>
      <c r="H51" s="24" t="str">
        <f>image("https://i.imgur.com/NkILW1J.png")</f>
        <v/>
      </c>
      <c r="I51" s="20" t="str">
        <f>image("https://pokejungle.net/sprites/normal/"&amp;H50&amp;"-f.png")</f>
        <v/>
      </c>
      <c r="J51" s="16" t="str">
        <f>image("https://i.imgur.com/rAI9Gyi.png")</f>
        <v/>
      </c>
      <c r="K51" s="20" t="str">
        <f>image("https://pokejungle.net/sprites/normal/"&amp;J50&amp;".png")</f>
        <v/>
      </c>
      <c r="L51" s="28" t="str">
        <f>image("https://i.imgur.com/XI18XGu.png")</f>
        <v/>
      </c>
      <c r="M51" s="20" t="str">
        <f>image("https://pokejungle.net/sprites/normal/"&amp;L50&amp;".png")</f>
        <v/>
      </c>
      <c r="N51" s="16" t="str">
        <f>image("https://i.imgur.com/XzidFHI.png")</f>
        <v/>
      </c>
      <c r="O51" s="20" t="str">
        <f>image("https://pokejungle.net/sprites/normal/"&amp;N50&amp;".png")</f>
        <v/>
      </c>
      <c r="P51" s="16" t="str">
        <f>image("https://i.imgur.com/nNTmuH8.png")</f>
        <v/>
      </c>
      <c r="Q51" s="20" t="str">
        <f>image("https://pokejungle.net/sprites/normal/"&amp;P50&amp;"-1.png")</f>
        <v/>
      </c>
      <c r="R51" s="33"/>
    </row>
    <row r="52" ht="26.25" customHeight="1">
      <c r="A52" s="15"/>
      <c r="B52" s="38" t="str">
        <f>image("https://i.imgur.com/XI18XGu.png")</f>
        <v/>
      </c>
      <c r="C52" s="36"/>
      <c r="D52" s="37" t="str">
        <f>image("https://i.imgur.com/JDgAgAO.png")</f>
        <v/>
      </c>
      <c r="E52" s="36"/>
      <c r="F52" s="35" t="str">
        <f>image("https://i.imgur.com/XI18XGu.png")</f>
        <v/>
      </c>
      <c r="G52" s="36"/>
      <c r="H52" s="37"/>
      <c r="I52" s="36"/>
      <c r="J52" s="38"/>
      <c r="K52" s="36"/>
      <c r="L52" s="35" t="str">
        <f>image("https://i.imgur.com/a9HBljD.png")</f>
        <v/>
      </c>
      <c r="M52" s="36"/>
      <c r="N52" s="38" t="str">
        <f>image("https://i.imgur.com/zpybKax.png")</f>
        <v/>
      </c>
      <c r="O52" s="36"/>
      <c r="P52" s="38" t="str">
        <f>image("https://i.imgur.com/N2Wqr43.png")</f>
        <v/>
      </c>
      <c r="Q52" s="36"/>
      <c r="R52" s="33"/>
    </row>
    <row r="53" ht="26.25" customHeight="1">
      <c r="A53" s="15"/>
      <c r="B53" s="40"/>
      <c r="C53" s="41"/>
      <c r="D53" s="40"/>
      <c r="E53" s="41"/>
      <c r="F53" s="40"/>
      <c r="G53" s="41"/>
      <c r="H53" s="40"/>
      <c r="I53" s="41"/>
      <c r="J53" s="40"/>
      <c r="K53" s="41"/>
      <c r="L53" s="43" t="str">
        <f t="shared" ref="L53:L54" si="2">image("https://i.imgur.com/rAI9Gyi.png")</f>
        <v/>
      </c>
      <c r="M53" s="41"/>
      <c r="N53" s="40"/>
      <c r="O53" s="41"/>
      <c r="P53" s="40" t="str">
        <f>image("https://i.imgur.com/EkqYYOB.png")</f>
        <v/>
      </c>
      <c r="Q53" s="41"/>
      <c r="R53" s="33"/>
    </row>
    <row r="54" ht="26.25" customHeight="1">
      <c r="A54" s="15"/>
      <c r="B54" s="16" t="str">
        <f>image("https://i.imgur.com/EkqYYOB.png")</f>
        <v/>
      </c>
      <c r="C54" s="20" t="str">
        <f>image("https://pokejungle.net/sprites/shiny/"&amp;B50&amp;".png")</f>
        <v/>
      </c>
      <c r="D54" s="16" t="str">
        <f>image("https://i.imgur.com/rAI9Gyi.png")</f>
        <v/>
      </c>
      <c r="E54" s="20" t="str">
        <f>image("https://pokejungle.net/sprites/shiny/"&amp;D50&amp;".png")</f>
        <v/>
      </c>
      <c r="F54" s="16" t="str">
        <f>image("https://i.imgur.com/SF5CZ6U.png")</f>
        <v/>
      </c>
      <c r="G54" s="20" t="str">
        <f>image("https://pokejungle.net/sprites/shiny/"&amp;F50&amp;"-f.png")</f>
        <v/>
      </c>
      <c r="H54" s="16" t="str">
        <f>image("https://i.imgur.com/EkqYYOB.png")</f>
        <v/>
      </c>
      <c r="I54" s="20" t="str">
        <f>image("https://pokejungle.net/sprites/shiny/"&amp;H50&amp;".png")</f>
        <v/>
      </c>
      <c r="J54" s="16" t="str">
        <f>image("https://i.imgur.com/rAI9Gyi.png")</f>
        <v/>
      </c>
      <c r="K54" s="20" t="str">
        <f>image("https://pokejungle.net/sprites/shiny/"&amp;J50&amp;".png")</f>
        <v/>
      </c>
      <c r="L54" s="16" t="str">
        <f t="shared" si="2"/>
        <v/>
      </c>
      <c r="M54" s="20" t="str">
        <f>image("https://pokejungle.net/sprites/shiny/"&amp;L50&amp;".png")</f>
        <v/>
      </c>
      <c r="N54" s="16" t="str">
        <f>image("https://i.imgur.com/XI18XGu.png")</f>
        <v/>
      </c>
      <c r="O54" s="20" t="str">
        <f>image("https://pokejungle.net/sprites/shiny/"&amp;N50&amp;".png")</f>
        <v/>
      </c>
      <c r="P54" s="16" t="str">
        <f>image("https://i.imgur.com/NkILW1J.png")</f>
        <v/>
      </c>
      <c r="Q54" s="20" t="str">
        <f>image("https://pokejungle.net/sprites/shiny/"&amp;P50&amp;"-1.png")</f>
        <v/>
      </c>
      <c r="R54" s="33"/>
    </row>
    <row r="55" ht="26.25" customHeight="1">
      <c r="A55" s="15"/>
      <c r="B55" s="38" t="str">
        <f>image("https://i.imgur.com/rJhTvoD.png")</f>
        <v/>
      </c>
      <c r="C55" s="36"/>
      <c r="D55" s="46" t="str">
        <f>image("https://i.imgur.com/rJhTvoD.png")</f>
        <v/>
      </c>
      <c r="E55" s="36"/>
      <c r="F55" s="35" t="str">
        <f>image("https://i.imgur.com/XI18XGu.png")</f>
        <v/>
      </c>
      <c r="G55" s="36"/>
      <c r="H55" s="46" t="str">
        <f>image("https://i.imgur.com/rJhTvoD.png")</f>
        <v/>
      </c>
      <c r="I55" s="36"/>
      <c r="J55" s="38" t="str">
        <f>image("https://i.imgur.com/XI18XGu.png")</f>
        <v/>
      </c>
      <c r="K55" s="36"/>
      <c r="L55" s="46" t="str">
        <f>image("https://i.imgur.com/EkqYYOB.png")</f>
        <v/>
      </c>
      <c r="M55" s="36"/>
      <c r="N55" s="38" t="str">
        <f>image("https://i.imgur.com/a9HBljD.png")</f>
        <v/>
      </c>
      <c r="O55" s="36"/>
      <c r="P55" s="38" t="str">
        <f>image("https://i.imgur.com/XNzvO0H.png")</f>
        <v/>
      </c>
      <c r="Q55" s="36"/>
      <c r="R55" s="33"/>
    </row>
    <row r="56" ht="26.25" customHeight="1">
      <c r="A56" s="15"/>
      <c r="B56" s="40" t="str">
        <f>image("https://i.imgur.com/beHgI95.png")</f>
        <v/>
      </c>
      <c r="C56" s="41"/>
      <c r="D56" s="43"/>
      <c r="E56" s="41"/>
      <c r="F56" s="40"/>
      <c r="G56" s="41"/>
      <c r="H56" s="43" t="str">
        <f>image("https://i.imgur.com/beHgI95.png")</f>
        <v/>
      </c>
      <c r="I56" s="41"/>
      <c r="J56" s="40"/>
      <c r="K56" s="41"/>
      <c r="L56" s="43"/>
      <c r="M56" s="41"/>
      <c r="N56" s="40" t="str">
        <f>image("https://i.imgur.com/rAI9Gyi.png")</f>
        <v/>
      </c>
      <c r="O56" s="41"/>
      <c r="P56" s="40"/>
      <c r="Q56" s="41"/>
      <c r="R56" s="33"/>
    </row>
    <row r="57" ht="18.75" customHeight="1">
      <c r="A57" s="6"/>
      <c r="B57" s="8" t="s">
        <v>570</v>
      </c>
      <c r="C57" s="10" t="s">
        <v>573</v>
      </c>
      <c r="D57" s="8" t="s">
        <v>574</v>
      </c>
      <c r="E57" s="10" t="s">
        <v>575</v>
      </c>
      <c r="F57" s="8" t="s">
        <v>576</v>
      </c>
      <c r="G57" s="10" t="s">
        <v>577</v>
      </c>
      <c r="H57" s="8" t="s">
        <v>578</v>
      </c>
      <c r="I57" s="10" t="s">
        <v>579</v>
      </c>
      <c r="J57" s="8" t="s">
        <v>578</v>
      </c>
      <c r="K57" s="10" t="s">
        <v>580</v>
      </c>
      <c r="L57" s="8" t="s">
        <v>581</v>
      </c>
      <c r="M57" s="10" t="s">
        <v>582</v>
      </c>
      <c r="N57" s="8" t="s">
        <v>583</v>
      </c>
      <c r="O57" s="10" t="s">
        <v>584</v>
      </c>
      <c r="P57" s="8" t="s">
        <v>585</v>
      </c>
      <c r="Q57" s="10" t="s">
        <v>586</v>
      </c>
      <c r="R57" s="14"/>
    </row>
    <row r="58" ht="26.25" customHeight="1">
      <c r="A58" s="15"/>
      <c r="B58" s="16" t="str">
        <f>image("https://i.imgur.com/JOd7Boe.png")</f>
        <v/>
      </c>
      <c r="C58" s="20" t="str">
        <f>image("https://pokejungle.net/sprites/normal/"&amp;B57&amp;".png")</f>
        <v/>
      </c>
      <c r="D58" s="16" t="str">
        <f>image("https://i.imgur.com/RqSOGo6.png")</f>
        <v/>
      </c>
      <c r="E58" s="20" t="str">
        <f>image("https://pokejungle.net/sprites/normal/"&amp;D57&amp;".png")</f>
        <v/>
      </c>
      <c r="F58" s="16" t="str">
        <f>image("https://i.imgur.com/XzidFHI.png")</f>
        <v/>
      </c>
      <c r="G58" s="20" t="str">
        <f>image("https://pokejungle.net/sprites/normal/"&amp;F57&amp;"-f.png")</f>
        <v/>
      </c>
      <c r="H58" s="24" t="str">
        <f>image("https://i.imgur.com/EkqYYOB.png")</f>
        <v/>
      </c>
      <c r="I58" s="20" t="str">
        <f>image("https://pokejungle.net/sprites/normal/"&amp;H57&amp;".png")</f>
        <v/>
      </c>
      <c r="J58" s="16" t="str">
        <f>image("https://i.imgur.com/NkILW1J.png")</f>
        <v/>
      </c>
      <c r="K58" s="20" t="str">
        <f>image("https://pokejungle.net/sprites/normal/"&amp;J57&amp;"-1.png")</f>
        <v/>
      </c>
      <c r="L58" s="28" t="str">
        <f>image("https://i.imgur.com/JDgAgAO.png")</f>
        <v/>
      </c>
      <c r="M58" s="20" t="str">
        <f>image("https://pokejungle.net/sprites/normal/"&amp;L57&amp;".png")</f>
        <v/>
      </c>
      <c r="N58" s="16" t="str">
        <f>image("https://i.imgur.com/JDgAgAO.png")</f>
        <v/>
      </c>
      <c r="O58" s="20" t="str">
        <f>image("https://pokejungle.net/sprites/normal/"&amp;N57&amp;"-f.png")</f>
        <v/>
      </c>
      <c r="P58" s="16" t="str">
        <f>image("https://i.imgur.com/RqSOGo6.png")</f>
        <v/>
      </c>
      <c r="Q58" s="20" t="str">
        <f>image("https://pokejungle.net/sprites/normal/"&amp;P57&amp;".png")</f>
        <v/>
      </c>
      <c r="R58" s="33"/>
    </row>
    <row r="59" ht="26.25" customHeight="1">
      <c r="A59" s="15"/>
      <c r="B59" s="38" t="str">
        <f>image("https://i.imgur.com/GyNf8BH.png")</f>
        <v/>
      </c>
      <c r="C59" s="36"/>
      <c r="D59" s="35" t="str">
        <f>image("https://i.imgur.com/lKAfx6k.png")</f>
        <v/>
      </c>
      <c r="E59" s="36"/>
      <c r="F59" s="35" t="str">
        <f>image("https://i.imgur.com/SF5CZ6U.png")</f>
        <v/>
      </c>
      <c r="G59" s="36"/>
      <c r="H59" s="37" t="str">
        <f>image("https://i.imgur.com/JDgAgAO.png")</f>
        <v/>
      </c>
      <c r="I59" s="36"/>
      <c r="J59" s="38" t="str">
        <f>image("https://i.imgur.com/XI18XGu.png")</f>
        <v/>
      </c>
      <c r="K59" s="36"/>
      <c r="L59" s="35" t="str">
        <f>image("https://i.imgur.com/XIu6jDl.png")</f>
        <v/>
      </c>
      <c r="M59" s="36"/>
      <c r="N59" s="38" t="str">
        <f>image("https://i.imgur.com/XIu6jDl.png")</f>
        <v/>
      </c>
      <c r="O59" s="36"/>
      <c r="P59" s="38"/>
      <c r="Q59" s="36"/>
      <c r="R59" s="33"/>
    </row>
    <row r="60" ht="26.25" customHeight="1">
      <c r="A60" s="15"/>
      <c r="B60" s="40" t="str">
        <f>image("https://i.imgur.com/bxys1sd.png")</f>
        <v/>
      </c>
      <c r="C60" s="41"/>
      <c r="D60" s="40"/>
      <c r="E60" s="41"/>
      <c r="F60" s="40"/>
      <c r="G60" s="41"/>
      <c r="H60" s="40" t="str">
        <f>image("https://i.imgur.com/N2Wqr43.png")</f>
        <v/>
      </c>
      <c r="I60" s="41"/>
      <c r="J60" s="40" t="str">
        <f t="shared" ref="J60:J61" si="3">image("https://i.imgur.com/EkqYYOB.png")</f>
        <v/>
      </c>
      <c r="K60" s="41"/>
      <c r="L60" s="43" t="str">
        <f>image("https://i.imgur.com/lpOVjtL.png")</f>
        <v/>
      </c>
      <c r="M60" s="41"/>
      <c r="N60" s="40" t="str">
        <f>image("https://i.imgur.com/lpOVjtL.png")</f>
        <v/>
      </c>
      <c r="O60" s="41"/>
      <c r="P60" s="40"/>
      <c r="Q60" s="41"/>
      <c r="R60" s="33"/>
    </row>
    <row r="61" ht="26.25" customHeight="1">
      <c r="A61" s="15"/>
      <c r="B61" s="16" t="str">
        <f>image("https://i.imgur.com/XIu6jDl.png")</f>
        <v/>
      </c>
      <c r="C61" s="20" t="str">
        <f>image("https://pokejungle.net/sprites/shiny/"&amp;B57&amp;"-f.png")</f>
        <v/>
      </c>
      <c r="D61" s="16" t="str">
        <f>image("https://i.imgur.com/zpybKax.png")</f>
        <v/>
      </c>
      <c r="E61" s="20" t="str">
        <f>image("https://pokejungle.net/sprites/shiny/"&amp;D57&amp;".png")</f>
        <v/>
      </c>
      <c r="F61" s="16" t="str">
        <f>image("https://i.imgur.com/XI18XGu.png")</f>
        <v/>
      </c>
      <c r="G61" s="20" t="str">
        <f>image("https://pokejungle.net/sprites/shiny/"&amp;F57&amp;".png")</f>
        <v/>
      </c>
      <c r="H61" s="16" t="str">
        <f>image("https://i.imgur.com/rAI9Gyi.png")</f>
        <v/>
      </c>
      <c r="I61" s="20" t="str">
        <f>image("https://pokejungle.net/sprites/shiny/"&amp;H57&amp;"-f.png")</f>
        <v/>
      </c>
      <c r="J61" s="16" t="str">
        <f t="shared" si="3"/>
        <v/>
      </c>
      <c r="K61" s="20" t="str">
        <f>image("https://pokejungle.net/sprites/shiny/"&amp;J57&amp;"-1-f.png")</f>
        <v/>
      </c>
      <c r="L61" s="16" t="str">
        <f>image("https://i.imgur.com/XIu6jDl.png")</f>
        <v/>
      </c>
      <c r="M61" s="20" t="str">
        <f>image("https://pokejungle.net/sprites/shiny/"&amp;L57&amp;".png")</f>
        <v/>
      </c>
      <c r="N61" s="16" t="str">
        <f>image("https://i.imgur.com/XIu6jDl.png")</f>
        <v/>
      </c>
      <c r="O61" s="20" t="str">
        <f>image("https://pokejungle.net/sprites/shiny/"&amp;N57&amp;".png")</f>
        <v/>
      </c>
      <c r="P61" s="16" t="str">
        <f>image("https://i.imgur.com/0ArMZjJ.png")</f>
        <v/>
      </c>
      <c r="Q61" s="20" t="str">
        <f>image("https://pokejungle.net/sprites/shiny/"&amp;P57&amp;".png")</f>
        <v/>
      </c>
      <c r="R61" s="33"/>
    </row>
    <row r="62" ht="26.25" customHeight="1">
      <c r="A62" s="15"/>
      <c r="B62" s="38" t="str">
        <f>image("https://i.imgur.com/VQL4lPa.png")</f>
        <v/>
      </c>
      <c r="C62" s="36"/>
      <c r="D62" s="46"/>
      <c r="E62" s="36"/>
      <c r="F62" s="35" t="str">
        <f>image("https://i.imgur.com/rAI9Gyi.png")</f>
        <v/>
      </c>
      <c r="G62" s="36"/>
      <c r="H62" s="46"/>
      <c r="I62" s="36"/>
      <c r="J62" s="38" t="str">
        <f>image("https://i.imgur.com/zpybKax.png")</f>
        <v/>
      </c>
      <c r="K62" s="36"/>
      <c r="L62" s="37" t="str">
        <f>image("https://i.imgur.com/JDgAgAO.png")</f>
        <v/>
      </c>
      <c r="M62" s="36"/>
      <c r="N62" s="38" t="str">
        <f>image("https://i.imgur.com/VQL4lPa.png")</f>
        <v/>
      </c>
      <c r="O62" s="36"/>
      <c r="P62" s="38"/>
      <c r="Q62" s="36"/>
      <c r="R62" s="33"/>
    </row>
    <row r="63" ht="26.25" customHeight="1">
      <c r="A63" s="15"/>
      <c r="B63" s="40"/>
      <c r="C63" s="41"/>
      <c r="D63" s="43"/>
      <c r="E63" s="41"/>
      <c r="F63" s="40" t="str">
        <f>image("https://i.imgur.com/a9HBljD.png")</f>
        <v/>
      </c>
      <c r="G63" s="41"/>
      <c r="H63" s="43"/>
      <c r="I63" s="41"/>
      <c r="J63" s="40"/>
      <c r="K63" s="41"/>
      <c r="L63" s="43" t="str">
        <f>image("https://i.imgur.com/eru43o1.png")</f>
        <v/>
      </c>
      <c r="M63" s="41"/>
      <c r="N63" s="40" t="str">
        <f>image("https://i.imgur.com/JDgAgAO.png")</f>
        <v/>
      </c>
      <c r="O63" s="41"/>
      <c r="P63" s="40"/>
      <c r="Q63" s="41"/>
      <c r="R63" s="33"/>
    </row>
    <row r="64" ht="18.75" customHeight="1">
      <c r="A64" s="6"/>
      <c r="B64" s="8" t="s">
        <v>635</v>
      </c>
      <c r="C64" s="10" t="s">
        <v>636</v>
      </c>
      <c r="D64" s="8" t="s">
        <v>637</v>
      </c>
      <c r="E64" s="10" t="s">
        <v>638</v>
      </c>
      <c r="F64" s="8" t="s">
        <v>639</v>
      </c>
      <c r="G64" s="10" t="s">
        <v>640</v>
      </c>
      <c r="H64" s="8" t="s">
        <v>641</v>
      </c>
      <c r="I64" s="10" t="s">
        <v>642</v>
      </c>
      <c r="J64" s="8" t="s">
        <v>641</v>
      </c>
      <c r="K64" s="10" t="s">
        <v>643</v>
      </c>
      <c r="L64" s="8" t="s">
        <v>644</v>
      </c>
      <c r="M64" s="10" t="s">
        <v>645</v>
      </c>
      <c r="N64" s="8" t="s">
        <v>646</v>
      </c>
      <c r="O64" s="10" t="s">
        <v>647</v>
      </c>
      <c r="P64" s="8" t="s">
        <v>648</v>
      </c>
      <c r="Q64" s="10" t="s">
        <v>649</v>
      </c>
      <c r="R64" s="14"/>
    </row>
    <row r="65" ht="26.25" customHeight="1">
      <c r="A65" s="15"/>
      <c r="B65" s="16" t="str">
        <f>image("https://i.imgur.com/RqSOGo6.png")</f>
        <v/>
      </c>
      <c r="C65" s="20" t="str">
        <f>image("https://pokejungle.net/sprites/normal/"&amp;B64&amp;".png")</f>
        <v/>
      </c>
      <c r="D65" s="16" t="str">
        <f>image("https://i.imgur.com/lpOVjtL.png")</f>
        <v/>
      </c>
      <c r="E65" s="20" t="str">
        <f>image("https://pokejungle.net/sprites/normal/"&amp;D64&amp;".png")</f>
        <v/>
      </c>
      <c r="F65" s="16" t="str">
        <f>image("https://i.imgur.com/lpOVjtL.png")</f>
        <v/>
      </c>
      <c r="G65" s="20" t="str">
        <f>image("https://pokejungle.net/sprites/normal/"&amp;F64&amp;".png")</f>
        <v/>
      </c>
      <c r="H65" s="24" t="str">
        <f>image("https://i.imgur.com/a9HBljD.png")</f>
        <v/>
      </c>
      <c r="I65" s="20" t="str">
        <f>image("https://pokejungle.net/sprites/normal/"&amp;H64&amp;".png")</f>
        <v/>
      </c>
      <c r="J65" s="16" t="str">
        <f>image("https://i.imgur.com/0ArMZjJ.png")</f>
        <v/>
      </c>
      <c r="K65" s="20" t="str">
        <f>image("https://pokejungle.net/sprites/normal/"&amp;J64&amp;"-1.png")</f>
        <v/>
      </c>
      <c r="L65" s="28" t="str">
        <f>image("https://i.imgur.com/XNzvO0H.png")</f>
        <v/>
      </c>
      <c r="M65" s="20" t="str">
        <f>image("https://pokejungle.net/sprites/normal/"&amp;L64&amp;".png")</f>
        <v/>
      </c>
      <c r="N65" s="16" t="str">
        <f>image("https://i.imgur.com/JOd7Boe.png")</f>
        <v/>
      </c>
      <c r="O65" s="20" t="str">
        <f>image("https://pokejungle.net/sprites/normal/"&amp;N64&amp;"-f.png")</f>
        <v/>
      </c>
      <c r="P65" s="16" t="str">
        <f>image("https://i.imgur.com/bxys1sd.png")</f>
        <v/>
      </c>
      <c r="Q65" s="20" t="str">
        <f>image("https://pokejungle.net/sprites/normal/"&amp;P64&amp;".png")</f>
        <v/>
      </c>
      <c r="R65" s="33"/>
    </row>
    <row r="66" ht="26.25" customHeight="1">
      <c r="A66" s="15"/>
      <c r="B66" s="38"/>
      <c r="C66" s="36"/>
      <c r="D66" s="35" t="str">
        <f>image("https://i.imgur.com/XIu6jDl.png")</f>
        <v/>
      </c>
      <c r="E66" s="36"/>
      <c r="F66" s="35" t="str">
        <f>image("https://i.imgur.com/XIu6jDl.png")</f>
        <v/>
      </c>
      <c r="G66" s="36"/>
      <c r="H66" s="37" t="str">
        <f>image("https://i.imgur.com/rAI9Gyi.png")</f>
        <v/>
      </c>
      <c r="I66" s="36"/>
      <c r="J66" s="38" t="str">
        <f>image("https://i.imgur.com/JOd7Boe.png")</f>
        <v/>
      </c>
      <c r="K66" s="36"/>
      <c r="L66" s="35"/>
      <c r="M66" s="36"/>
      <c r="N66" s="38" t="str">
        <f>image("https://i.imgur.com/GyNf8BH.png")</f>
        <v/>
      </c>
      <c r="O66" s="36"/>
      <c r="P66" s="38" t="str">
        <f>image("https://i.imgur.com/0ArMZjJ.png")</f>
        <v/>
      </c>
      <c r="Q66" s="36"/>
      <c r="R66" s="33"/>
    </row>
    <row r="67" ht="26.25" customHeight="1">
      <c r="A67" s="15"/>
      <c r="B67" s="40"/>
      <c r="C67" s="41"/>
      <c r="D67" s="40"/>
      <c r="E67" s="41"/>
      <c r="F67" s="40"/>
      <c r="G67" s="41"/>
      <c r="H67" s="40"/>
      <c r="I67" s="41"/>
      <c r="J67" s="40"/>
      <c r="K67" s="41"/>
      <c r="L67" s="43"/>
      <c r="M67" s="41"/>
      <c r="N67" s="40" t="str">
        <f>image("https://i.imgur.com/bxys1sd.png")</f>
        <v/>
      </c>
      <c r="O67" s="41"/>
      <c r="P67" s="40" t="str">
        <f>image("https://i.imgur.com/GyNf8BH.png")</f>
        <v/>
      </c>
      <c r="Q67" s="41"/>
      <c r="R67" s="33"/>
    </row>
    <row r="68" ht="26.25" customHeight="1">
      <c r="A68" s="15"/>
      <c r="B68" s="16" t="str">
        <f>image("https://i.imgur.com/rAI9Gyi.png")</f>
        <v/>
      </c>
      <c r="C68" s="20" t="str">
        <f>image("https://pokejungle.net/sprites/shiny/"&amp;B64&amp;".png")</f>
        <v/>
      </c>
      <c r="D68" s="16" t="str">
        <f>image("https://i.imgur.com/XIu6jDl.png")</f>
        <v/>
      </c>
      <c r="E68" s="20" t="str">
        <f>image("https://pokejungle.net/sprites/shiny/"&amp;D64&amp;".png")</f>
        <v/>
      </c>
      <c r="F68" s="16" t="str">
        <f>image("https://i.imgur.com/beHgI95.png")</f>
        <v/>
      </c>
      <c r="G68" s="20" t="str">
        <f>image("https://pokejungle.net/sprites/shiny/"&amp;F64&amp;"-f.png")</f>
        <v/>
      </c>
      <c r="H68" s="16" t="str">
        <f>image("https://i.imgur.com/XNzvO0H.png")</f>
        <v/>
      </c>
      <c r="I68" s="20" t="str">
        <f>image("https://pokejungle.net/sprites/shiny/"&amp;H64&amp;".png")</f>
        <v/>
      </c>
      <c r="J68" s="16" t="str">
        <f>image("https://i.imgur.com/0ArMZjJ.png")</f>
        <v/>
      </c>
      <c r="K68" s="20" t="str">
        <f>image("https://pokejungle.net/sprites/shiny/"&amp;J64&amp;"-1.png")</f>
        <v/>
      </c>
      <c r="L68" s="16" t="str">
        <f>image("https://i.imgur.com/XI18XGu.png")</f>
        <v/>
      </c>
      <c r="M68" s="20" t="str">
        <f>image("https://pokejungle.net/sprites/shiny/"&amp;L64&amp;".png")</f>
        <v/>
      </c>
      <c r="N68" s="16" t="str">
        <f>image("https://i.imgur.com/EkqYYOB.png")</f>
        <v/>
      </c>
      <c r="O68" s="20" t="str">
        <f>image("https://pokejungle.net/sprites/shiny/"&amp;N64&amp;".png")</f>
        <v/>
      </c>
      <c r="P68" s="16" t="str">
        <f>image("https://i.imgur.com/a9HBljD.png")</f>
        <v/>
      </c>
      <c r="Q68" s="20" t="str">
        <f>image("https://pokejungle.net/sprites/shiny/"&amp;P64&amp;".png")</f>
        <v/>
      </c>
      <c r="R68" s="33"/>
    </row>
    <row r="69" ht="26.25" customHeight="1">
      <c r="A69" s="15"/>
      <c r="B69" s="38"/>
      <c r="C69" s="36"/>
      <c r="D69" s="46"/>
      <c r="E69" s="36"/>
      <c r="F69" s="35" t="str">
        <f>image("https://i.imgur.com/EkqYYOB.png")</f>
        <v/>
      </c>
      <c r="G69" s="36"/>
      <c r="H69" s="46"/>
      <c r="I69" s="36"/>
      <c r="J69" s="38" t="str">
        <f>image("https://i.imgur.com/JOd7Boe.png")</f>
        <v/>
      </c>
      <c r="K69" s="36"/>
      <c r="L69" s="46" t="str">
        <f>image("https://i.imgur.com/rAI9Gyi.png")</f>
        <v/>
      </c>
      <c r="M69" s="36"/>
      <c r="N69" s="38"/>
      <c r="O69" s="36"/>
      <c r="P69" s="38" t="str">
        <f>image("https://i.imgur.com/XI18XGu.png")</f>
        <v/>
      </c>
      <c r="Q69" s="36"/>
      <c r="R69" s="33"/>
    </row>
    <row r="70" ht="26.25" customHeight="1">
      <c r="A70" s="15"/>
      <c r="B70" s="40"/>
      <c r="C70" s="41"/>
      <c r="D70" s="43"/>
      <c r="E70" s="41"/>
      <c r="F70" s="40"/>
      <c r="G70" s="41"/>
      <c r="H70" s="43"/>
      <c r="I70" s="41"/>
      <c r="J70" s="40"/>
      <c r="K70" s="41"/>
      <c r="L70" s="43" t="str">
        <f>image("https://i.imgur.com/nNTmuH8.png")</f>
        <v/>
      </c>
      <c r="M70" s="41"/>
      <c r="N70" s="40"/>
      <c r="O70" s="41"/>
      <c r="P70" s="40" t="str">
        <f>image("https://i.imgur.com/rAI9Gyi.png")</f>
        <v/>
      </c>
      <c r="Q70" s="41"/>
      <c r="R70" s="33"/>
    </row>
    <row r="71" ht="18.75" customHeight="1">
      <c r="A71" s="6"/>
      <c r="B71" s="8" t="s">
        <v>694</v>
      </c>
      <c r="C71" s="10" t="s">
        <v>695</v>
      </c>
      <c r="D71" s="8" t="s">
        <v>696</v>
      </c>
      <c r="E71" s="10" t="s">
        <v>697</v>
      </c>
      <c r="F71" s="8" t="s">
        <v>698</v>
      </c>
      <c r="G71" s="10" t="s">
        <v>699</v>
      </c>
      <c r="H71" s="8" t="s">
        <v>700</v>
      </c>
      <c r="I71" s="10" t="s">
        <v>701</v>
      </c>
      <c r="J71" s="8" t="s">
        <v>702</v>
      </c>
      <c r="K71" s="10" t="s">
        <v>703</v>
      </c>
      <c r="L71" s="8" t="s">
        <v>704</v>
      </c>
      <c r="M71" s="10" t="s">
        <v>705</v>
      </c>
      <c r="N71" s="8" t="s">
        <v>706</v>
      </c>
      <c r="O71" s="10" t="s">
        <v>707</v>
      </c>
      <c r="P71" s="8" t="s">
        <v>708</v>
      </c>
      <c r="Q71" s="10" t="s">
        <v>709</v>
      </c>
      <c r="R71" s="14"/>
    </row>
    <row r="72" ht="26.25" customHeight="1">
      <c r="A72" s="15"/>
      <c r="B72" s="16" t="str">
        <f>image("https://i.imgur.com/XzidFHI.png")</f>
        <v/>
      </c>
      <c r="C72" s="20" t="str">
        <f>image("https://pokejungle.net/sprites/normal/"&amp;B71&amp;".png")</f>
        <v/>
      </c>
      <c r="D72" s="16" t="str">
        <f>image("https://i.imgur.com/JOd7Boe.png")</f>
        <v/>
      </c>
      <c r="E72" s="20" t="str">
        <f>image("https://pokejungle.net/sprites/normal/"&amp;D71&amp;".png")</f>
        <v/>
      </c>
      <c r="F72" s="16" t="str">
        <f>image("https://i.imgur.com/RqSOGo6.png")</f>
        <v/>
      </c>
      <c r="G72" s="20" t="str">
        <f>image("https://pokejungle.net/sprites/normal/"&amp;F71&amp;".png")</f>
        <v/>
      </c>
      <c r="H72" s="24" t="str">
        <f>image("https://i.imgur.com/RqSOGo6.png")</f>
        <v/>
      </c>
      <c r="I72" s="20" t="str">
        <f>image("https://pokejungle.net/sprites/normal/"&amp;H71&amp;".png")</f>
        <v/>
      </c>
      <c r="J72" s="16" t="str">
        <f>image("https://i.imgur.com/XNzvO0H.png")</f>
        <v/>
      </c>
      <c r="K72" s="20" t="str">
        <f>image("https://pokejungle.net/sprites/normal/"&amp;J71&amp;".png")</f>
        <v/>
      </c>
      <c r="L72" s="28" t="str">
        <f>image("https://i.imgur.com/SF5CZ6U.png")</f>
        <v/>
      </c>
      <c r="M72" s="20" t="str">
        <f>image("https://pokejungle.net/sprites/normal/"&amp;L71&amp;".png")</f>
        <v/>
      </c>
      <c r="N72" s="16" t="str">
        <f>image("https://i.imgur.com/NkILW1J.png")</f>
        <v/>
      </c>
      <c r="O72" s="20" t="str">
        <f>image("https://pokejungle.net/sprites/normal/"&amp;N71&amp;"-f.png")</f>
        <v/>
      </c>
      <c r="P72" s="16" t="str">
        <f>image("https://i.imgur.com/ef1o2lD.png")</f>
        <v/>
      </c>
      <c r="Q72" s="20" t="str">
        <f>image("https://pokejungle.net/sprites/normal/"&amp;P71&amp;".png")</f>
        <v/>
      </c>
      <c r="R72" s="33"/>
    </row>
    <row r="73" ht="26.25" customHeight="1">
      <c r="A73" s="15"/>
      <c r="B73" s="38" t="str">
        <f>image("https://i.imgur.com/XNzvO0H.png")</f>
        <v/>
      </c>
      <c r="C73" s="36"/>
      <c r="D73" s="35" t="str">
        <f>image("https://i.imgur.com/NkILW1J.png")</f>
        <v/>
      </c>
      <c r="E73" s="36"/>
      <c r="F73" s="35" t="str">
        <f>image("https://i.imgur.com/EkqYYOB.png")</f>
        <v/>
      </c>
      <c r="G73" s="36"/>
      <c r="H73" s="37" t="str">
        <f>image("https://i.imgur.com/EkqYYOB.png")</f>
        <v/>
      </c>
      <c r="I73" s="36"/>
      <c r="J73" s="38" t="str">
        <f>image("https://i.imgur.com/zpybKax.png")</f>
        <v/>
      </c>
      <c r="K73" s="36"/>
      <c r="L73" s="35"/>
      <c r="M73" s="36"/>
      <c r="N73" s="38" t="str">
        <f>image("https://i.imgur.com/JOd7Boe.png")</f>
        <v/>
      </c>
      <c r="O73" s="36"/>
      <c r="P73" s="38" t="str">
        <f>image("https://i.imgur.com/SF5CZ6U.png")</f>
        <v/>
      </c>
      <c r="Q73" s="36"/>
      <c r="R73" s="33"/>
    </row>
    <row r="74" ht="26.25" customHeight="1">
      <c r="A74" s="15"/>
      <c r="B74" s="40"/>
      <c r="C74" s="41"/>
      <c r="D74" s="40"/>
      <c r="E74" s="41"/>
      <c r="F74" s="40"/>
      <c r="G74" s="41"/>
      <c r="H74" s="40"/>
      <c r="I74" s="41"/>
      <c r="J74" s="40"/>
      <c r="K74" s="41"/>
      <c r="L74" s="43"/>
      <c r="M74" s="41"/>
      <c r="N74" s="40"/>
      <c r="O74" s="41"/>
      <c r="P74" s="40"/>
      <c r="Q74" s="41"/>
      <c r="R74" s="33"/>
    </row>
    <row r="75" ht="26.25" customHeight="1">
      <c r="A75" s="15"/>
      <c r="B75" s="16" t="str">
        <f>image("https://i.imgur.com/XNzvO0H.png")</f>
        <v/>
      </c>
      <c r="C75" s="20" t="str">
        <f>image("https://pokejungle.net/sprites/shiny/"&amp;B71&amp;".png")</f>
        <v/>
      </c>
      <c r="D75" s="16" t="str">
        <f>image("https://i.imgur.com/EkqYYOB.png")</f>
        <v/>
      </c>
      <c r="E75" s="20" t="str">
        <f>image("https://pokejungle.net/sprites/shiny/"&amp;D71&amp;".png")</f>
        <v/>
      </c>
      <c r="F75" s="28" t="str">
        <f>image("https://i.imgur.com/JDgAgAO.png")</f>
        <v/>
      </c>
      <c r="G75" s="20" t="str">
        <f>image("https://pokejungle.net/sprites/shiny/"&amp;F71&amp;".png")</f>
        <v/>
      </c>
      <c r="H75" s="28" t="str">
        <f>image("https://i.imgur.com/JDgAgAO.png")</f>
        <v/>
      </c>
      <c r="I75" s="20" t="str">
        <f>image("https://pokejungle.net/sprites/shiny/"&amp;H71&amp;"-f.png")</f>
        <v/>
      </c>
      <c r="J75" s="16" t="str">
        <f>image("https://i.imgur.com/rAI9Gyi.png")</f>
        <v/>
      </c>
      <c r="K75" s="20" t="str">
        <f>image("https://pokejungle.net/sprites/shiny/"&amp;J71&amp;".png")</f>
        <v/>
      </c>
      <c r="L75" s="16" t="str">
        <f>image("https://i.imgur.com/SF5CZ6U.png")</f>
        <v/>
      </c>
      <c r="M75" s="20" t="str">
        <f>image("https://pokejungle.net/sprites/shiny/"&amp;L71&amp;".png")</f>
        <v/>
      </c>
      <c r="N75" s="16" t="str">
        <f>image("https://i.imgur.com/RqSOGo6.png")</f>
        <v/>
      </c>
      <c r="O75" s="20" t="str">
        <f>image("https://pokejungle.net/sprites/shiny/"&amp;N71&amp;".png")</f>
        <v/>
      </c>
      <c r="P75" s="16" t="str">
        <f>image("https://i.imgur.com/rAI9Gyi.png")</f>
        <v/>
      </c>
      <c r="Q75" s="20" t="str">
        <f>image("https://pokejungle.net/sprites/shiny/"&amp;P71&amp;".png")</f>
        <v/>
      </c>
      <c r="R75" s="33"/>
    </row>
    <row r="76" ht="26.25" customHeight="1">
      <c r="A76" s="15"/>
      <c r="B76" s="38"/>
      <c r="C76" s="36"/>
      <c r="D76" s="46" t="str">
        <f>image("https://i.imgur.com/XIu6jDl.png")</f>
        <v/>
      </c>
      <c r="E76" s="36"/>
      <c r="F76" s="38" t="str">
        <f>image("https://i.imgur.com/zpybKax.png")</f>
        <v/>
      </c>
      <c r="G76" s="36"/>
      <c r="H76" s="38" t="str">
        <f>image("https://i.imgur.com/zpybKax.png")</f>
        <v/>
      </c>
      <c r="I76" s="36"/>
      <c r="J76" s="38" t="str">
        <f>image("https://i.imgur.com/XI18XGu.png")</f>
        <v/>
      </c>
      <c r="K76" s="36"/>
      <c r="L76" s="46"/>
      <c r="M76" s="36"/>
      <c r="N76" s="38" t="str">
        <f>image("https://i.imgur.com/rJhTvoD.png")</f>
        <v/>
      </c>
      <c r="O76" s="36"/>
      <c r="P76" s="38" t="str">
        <f>image("https://i.imgur.com/SF5CZ6U.png")</f>
        <v/>
      </c>
      <c r="Q76" s="36"/>
      <c r="R76" s="33"/>
    </row>
    <row r="77" ht="26.25" customHeight="1">
      <c r="A77" s="15"/>
      <c r="B77" s="40"/>
      <c r="C77" s="41"/>
      <c r="D77" s="43" t="str">
        <f>image("https://i.imgur.com/VQL4lPa.png")</f>
        <v/>
      </c>
      <c r="E77" s="41"/>
      <c r="F77" s="40" t="str">
        <f>image("https://i.imgur.com/XzidFHI.png")</f>
        <v/>
      </c>
      <c r="G77" s="41"/>
      <c r="H77" s="40" t="str">
        <f>image("https://i.imgur.com/XzidFHI.png")</f>
        <v/>
      </c>
      <c r="I77" s="41"/>
      <c r="J77" s="40" t="str">
        <f>image("https://i.imgur.com/nNTmuH8.png")</f>
        <v/>
      </c>
      <c r="K77" s="41"/>
      <c r="L77" s="43"/>
      <c r="M77" s="41"/>
      <c r="N77" s="40" t="str">
        <f>image("https://i.imgur.com/XIu6jDl.png")</f>
        <v/>
      </c>
      <c r="O77" s="41"/>
      <c r="P77" s="40"/>
      <c r="Q77" s="41"/>
      <c r="R77" s="33"/>
    </row>
    <row r="78" ht="18.75" customHeight="1">
      <c r="A78" s="6"/>
      <c r="B78" s="8" t="s">
        <v>739</v>
      </c>
      <c r="C78" s="10" t="s">
        <v>740</v>
      </c>
      <c r="D78" s="8" t="s">
        <v>741</v>
      </c>
      <c r="E78" s="10" t="s">
        <v>742</v>
      </c>
      <c r="F78" s="8" t="s">
        <v>743</v>
      </c>
      <c r="G78" s="10" t="s">
        <v>744</v>
      </c>
      <c r="H78" s="8" t="s">
        <v>745</v>
      </c>
      <c r="I78" s="10" t="s">
        <v>746</v>
      </c>
      <c r="J78" s="8" t="s">
        <v>747</v>
      </c>
      <c r="K78" s="10" t="s">
        <v>748</v>
      </c>
      <c r="L78" s="8" t="s">
        <v>749</v>
      </c>
      <c r="M78" s="10" t="s">
        <v>750</v>
      </c>
      <c r="N78" s="8" t="s">
        <v>751</v>
      </c>
      <c r="O78" s="10" t="s">
        <v>752</v>
      </c>
      <c r="P78" s="8" t="s">
        <v>753</v>
      </c>
      <c r="Q78" s="10" t="s">
        <v>754</v>
      </c>
      <c r="R78" s="14"/>
    </row>
    <row r="79" ht="26.25" customHeight="1">
      <c r="A79" s="15"/>
      <c r="B79" s="16" t="str">
        <f>image("https://i.imgur.com/XIu6jDl.png")</f>
        <v/>
      </c>
      <c r="C79" s="20" t="str">
        <f>image("https://pokejungle.net/sprites/normal/"&amp;B78&amp;".png")</f>
        <v/>
      </c>
      <c r="D79" s="16" t="str">
        <f>image("https://i.imgur.com/XIu6jDl.png")</f>
        <v/>
      </c>
      <c r="E79" s="20" t="str">
        <f>image("https://pokejungle.net/sprites/normal/"&amp;D78&amp;".png")</f>
        <v/>
      </c>
      <c r="F79" s="16" t="str">
        <f>image("https://i.imgur.com/XI18XGu.png")</f>
        <v/>
      </c>
      <c r="G79" s="20" t="str">
        <f>image("https://pokejungle.net/sprites/normal/"&amp;F78&amp;".png")</f>
        <v/>
      </c>
      <c r="H79" s="24" t="str">
        <f>image("https://i.imgur.com/SF5CZ6U.png")</f>
        <v/>
      </c>
      <c r="I79" s="20" t="str">
        <f>image("https://pokejungle.net/sprites/normal/"&amp;H78&amp;".png")</f>
        <v/>
      </c>
      <c r="J79" s="16" t="str">
        <f>image("https://i.imgur.com/rAI9Gyi.png")</f>
        <v/>
      </c>
      <c r="K79" s="20" t="str">
        <f>image("https://pokejungle.net/sprites/normal/"&amp;J78&amp;".png")</f>
        <v/>
      </c>
      <c r="L79" s="28" t="str">
        <f>image("https://i.imgur.com/beHgI95.png")</f>
        <v/>
      </c>
      <c r="M79" s="20" t="str">
        <f>image("https://pokejungle.net/sprites/normal/"&amp;L78&amp;".png")</f>
        <v/>
      </c>
      <c r="N79" s="16" t="str">
        <f>image("https://i.imgur.com/RqSOGo6.png")</f>
        <v/>
      </c>
      <c r="O79" s="20" t="str">
        <f>image("https://pokejungle.net/sprites/normal/"&amp;N78&amp;".png")</f>
        <v/>
      </c>
      <c r="P79" s="16" t="str">
        <f>image("https://i.imgur.com/rAI9Gyi.png")</f>
        <v/>
      </c>
      <c r="Q79" s="20" t="str">
        <f>image("https://pokejungle.net/sprites/normal/"&amp;P78&amp;".png")</f>
        <v/>
      </c>
      <c r="R79" s="33"/>
    </row>
    <row r="80" ht="26.25" customHeight="1">
      <c r="A80" s="15"/>
      <c r="B80" s="38" t="str">
        <f>image("https://i.imgur.com/beHgI95.png")</f>
        <v/>
      </c>
      <c r="C80" s="36"/>
      <c r="D80" s="38" t="str">
        <f>image("https://i.imgur.com/lpOVjtL.png")</f>
        <v/>
      </c>
      <c r="E80" s="36"/>
      <c r="F80" s="35" t="str">
        <f>image("https://i.imgur.com/rAI9Gyi.png")</f>
        <v/>
      </c>
      <c r="G80" s="36"/>
      <c r="H80" s="37"/>
      <c r="I80" s="36"/>
      <c r="J80" s="38" t="str">
        <f>image("https://i.imgur.com/a9HBljD.png")</f>
        <v/>
      </c>
      <c r="K80" s="36"/>
      <c r="L80" s="35" t="str">
        <f>image("https://i.imgur.com/lKAfx6k.png")</f>
        <v/>
      </c>
      <c r="M80" s="36"/>
      <c r="N80" s="38" t="str">
        <f>image("https://i.imgur.com/lKAfx6k.png")</f>
        <v/>
      </c>
      <c r="O80" s="36"/>
      <c r="P80" s="38" t="str">
        <f>image("https://i.imgur.com/a9HBljD.png")</f>
        <v/>
      </c>
      <c r="Q80" s="36"/>
      <c r="R80" s="33"/>
    </row>
    <row r="81" ht="26.25" customHeight="1">
      <c r="A81" s="15"/>
      <c r="B81" s="40"/>
      <c r="C81" s="41"/>
      <c r="D81" s="40"/>
      <c r="E81" s="41"/>
      <c r="F81" s="40"/>
      <c r="G81" s="41"/>
      <c r="H81" s="40"/>
      <c r="I81" s="41"/>
      <c r="J81" s="40"/>
      <c r="K81" s="41"/>
      <c r="L81" s="43"/>
      <c r="M81" s="41"/>
      <c r="N81" s="40"/>
      <c r="O81" s="41"/>
      <c r="P81" s="40"/>
      <c r="Q81" s="41"/>
      <c r="R81" s="33"/>
    </row>
    <row r="82" ht="26.25" customHeight="1">
      <c r="A82" s="15"/>
      <c r="B82" s="16" t="str">
        <f>image("https://i.imgur.com/XIu6jDl.png")</f>
        <v/>
      </c>
      <c r="C82" s="20" t="str">
        <f>image("https://pokejungle.net/sprites/shiny/"&amp;B78&amp;".png")</f>
        <v/>
      </c>
      <c r="D82" s="16" t="str">
        <f>image("https://i.imgur.com/rAI9Gyi.png")</f>
        <v/>
      </c>
      <c r="E82" s="20" t="str">
        <f>image("https://pokejungle.net/sprites/shiny/"&amp;D78&amp;".png")</f>
        <v/>
      </c>
      <c r="F82" s="16" t="str">
        <f>image("https://i.imgur.com/SF5CZ6U.png")</f>
        <v/>
      </c>
      <c r="G82" s="20" t="str">
        <f>image("https://pokejungle.net/sprites/shiny/"&amp;F78&amp;".png")</f>
        <v/>
      </c>
      <c r="H82" s="16" t="str">
        <f>image("https://i.imgur.com/rAI9Gyi.png")</f>
        <v/>
      </c>
      <c r="I82" s="20" t="str">
        <f>image("https://pokejungle.net/sprites/shiny/"&amp;H78&amp;".png")</f>
        <v/>
      </c>
      <c r="J82" s="16" t="str">
        <f>image("https://i.imgur.com/rAI9Gyi.png")</f>
        <v/>
      </c>
      <c r="K82" s="20" t="str">
        <f>image("https://pokejungle.net/sprites/shiny/"&amp;J78&amp;".png")</f>
        <v/>
      </c>
      <c r="L82" s="16" t="str">
        <f>image("https://i.imgur.com/beHgI95.png")</f>
        <v/>
      </c>
      <c r="M82" s="20" t="str">
        <f>image("https://pokejungle.net/sprites/shiny/"&amp;L78&amp;".png")</f>
        <v/>
      </c>
      <c r="N82" s="16" t="str">
        <f>image("https://i.imgur.com/rJhTvoD.png")</f>
        <v/>
      </c>
      <c r="O82" s="20" t="str">
        <f>image("https://pokejungle.net/sprites/shiny/"&amp;N78&amp;".png")</f>
        <v/>
      </c>
      <c r="P82" s="16" t="str">
        <f>image("https://i.imgur.com/XNzvO0H.png")</f>
        <v/>
      </c>
      <c r="Q82" s="20" t="str">
        <f>image("https://pokejungle.net/sprites/shiny/"&amp;P78&amp;".png")</f>
        <v/>
      </c>
      <c r="R82" s="33"/>
    </row>
    <row r="83" ht="26.25" customHeight="1">
      <c r="A83" s="15"/>
      <c r="B83" s="38" t="str">
        <f>image("https://i.imgur.com/VQL4lPa.png")</f>
        <v/>
      </c>
      <c r="C83" s="36"/>
      <c r="D83" s="46" t="str">
        <f>image("https://i.imgur.com/EkqYYOB.png")</f>
        <v/>
      </c>
      <c r="E83" s="36"/>
      <c r="F83" s="35" t="str">
        <f>image("https://i.imgur.com/NkILW1J.png")</f>
        <v/>
      </c>
      <c r="G83" s="36"/>
      <c r="H83" s="46" t="str">
        <f>image("https://i.imgur.com/XI18XGu.png")</f>
        <v/>
      </c>
      <c r="I83" s="36"/>
      <c r="J83" s="38" t="str">
        <f>image("https://i.imgur.com/a9HBljD.png")</f>
        <v/>
      </c>
      <c r="K83" s="36"/>
      <c r="L83" s="46" t="str">
        <f>image("https://i.imgur.com/lKAfx6k.png")</f>
        <v/>
      </c>
      <c r="M83" s="36"/>
      <c r="N83" s="38" t="str">
        <f>image("https://i.imgur.com/RqSOGo6.png")</f>
        <v/>
      </c>
      <c r="O83" s="36"/>
      <c r="P83" s="38" t="str">
        <f>image("https://i.imgur.com/zpybKax.png")</f>
        <v/>
      </c>
      <c r="Q83" s="36"/>
      <c r="R83" s="33"/>
    </row>
    <row r="84" ht="26.25" customHeight="1">
      <c r="A84" s="15"/>
      <c r="B84" s="40"/>
      <c r="C84" s="41"/>
      <c r="D84" s="43"/>
      <c r="E84" s="41"/>
      <c r="F84" s="40"/>
      <c r="G84" s="41"/>
      <c r="H84" s="43"/>
      <c r="I84" s="41"/>
      <c r="J84" s="40"/>
      <c r="K84" s="41"/>
      <c r="L84" s="43"/>
      <c r="M84" s="41"/>
      <c r="N84" s="40"/>
      <c r="O84" s="41"/>
      <c r="P84" s="40"/>
      <c r="Q84" s="41"/>
      <c r="R84" s="33"/>
    </row>
    <row r="85" ht="18.75" customHeight="1">
      <c r="A85" s="6"/>
      <c r="B85" s="8" t="s">
        <v>801</v>
      </c>
      <c r="C85" s="10" t="s">
        <v>802</v>
      </c>
      <c r="D85" s="8" t="s">
        <v>803</v>
      </c>
      <c r="E85" s="10" t="s">
        <v>804</v>
      </c>
      <c r="F85" s="8" t="s">
        <v>805</v>
      </c>
      <c r="G85" s="10" t="s">
        <v>806</v>
      </c>
      <c r="H85" s="8" t="s">
        <v>807</v>
      </c>
      <c r="I85" s="10" t="s">
        <v>808</v>
      </c>
      <c r="J85" s="8" t="s">
        <v>809</v>
      </c>
      <c r="K85" s="10" t="s">
        <v>810</v>
      </c>
      <c r="L85" s="8" t="s">
        <v>811</v>
      </c>
      <c r="M85" s="10" t="s">
        <v>812</v>
      </c>
      <c r="N85" s="8" t="s">
        <v>813</v>
      </c>
      <c r="O85" s="10" t="s">
        <v>814</v>
      </c>
      <c r="P85" s="8" t="s">
        <v>815</v>
      </c>
      <c r="Q85" s="10" t="s">
        <v>816</v>
      </c>
      <c r="R85" s="14"/>
    </row>
    <row r="86" ht="26.25" customHeight="1">
      <c r="A86" s="15"/>
      <c r="B86" s="16" t="str">
        <f>image("https://i.imgur.com/a9HBljD.png")</f>
        <v/>
      </c>
      <c r="C86" s="20" t="str">
        <f>image("https://pokejungle.net/sprites/normal/"&amp;B85&amp;".png")</f>
        <v/>
      </c>
      <c r="D86" s="16" t="str">
        <f>image("https://i.imgur.com/beHgI95.png")</f>
        <v/>
      </c>
      <c r="E86" s="20" t="str">
        <f>image("https://pokejungle.net/sprites/normal/"&amp;D85&amp;".png")</f>
        <v/>
      </c>
      <c r="F86" s="16" t="str">
        <f>image("https://i.imgur.com/EkqYYOB.png")</f>
        <v/>
      </c>
      <c r="G86" s="20" t="str">
        <f>image("https://pokejungle.net/sprites/normal/"&amp;F85&amp;".png")</f>
        <v/>
      </c>
      <c r="H86" s="24" t="str">
        <f>image("https://i.imgur.com/XNzvO0H.png")</f>
        <v/>
      </c>
      <c r="I86" s="20" t="str">
        <f>image("https://pokejungle.net/sprites/normal/"&amp;H85&amp;".png")</f>
        <v/>
      </c>
      <c r="J86" s="16" t="str">
        <f>image("https://i.imgur.com/VQL4lPa.png")</f>
        <v/>
      </c>
      <c r="K86" s="20" t="str">
        <f>image("https://pokejungle.net/sprites/normal/"&amp;J85&amp;".png")</f>
        <v/>
      </c>
      <c r="L86" s="28" t="str">
        <f>image("https://i.imgur.com/XzidFHI.png")</f>
        <v/>
      </c>
      <c r="M86" s="20" t="str">
        <f>image("https://pokejungle.net/sprites/normal/"&amp;L85&amp;".png")</f>
        <v/>
      </c>
      <c r="N86" s="16" t="str">
        <f>image("https://i.imgur.com/VQL4lPa.png")</f>
        <v/>
      </c>
      <c r="O86" s="20" t="str">
        <f>image("https://pokejungle.net/sprites/normal/"&amp;N85&amp;".png")</f>
        <v/>
      </c>
      <c r="P86" s="16" t="str">
        <f>image("https://i.imgur.com/XNzvO0H.png")</f>
        <v/>
      </c>
      <c r="Q86" s="20" t="str">
        <f>image("https://pokejungle.net/sprites/normal/"&amp;P85&amp;".png")</f>
        <v/>
      </c>
      <c r="R86" s="33"/>
    </row>
    <row r="87" ht="26.25" customHeight="1">
      <c r="A87" s="15"/>
      <c r="B87" s="38" t="str">
        <f>image("https://i.imgur.com/0ArMZjJ.png")</f>
        <v/>
      </c>
      <c r="C87" s="36"/>
      <c r="D87" s="35" t="str">
        <f>image("https://i.imgur.com/zpybKax.png")</f>
        <v/>
      </c>
      <c r="E87" s="36"/>
      <c r="F87" s="35" t="str">
        <f>image("https://i.imgur.com/RqSOGo6.png")</f>
        <v/>
      </c>
      <c r="G87" s="36"/>
      <c r="H87" s="37"/>
      <c r="I87" s="36"/>
      <c r="J87" s="38" t="str">
        <f>image("https://i.imgur.com/XIu6jDl.png")</f>
        <v/>
      </c>
      <c r="K87" s="36"/>
      <c r="L87" s="35" t="str">
        <f>image("https://i.imgur.com/SF5CZ6U.png")</f>
        <v/>
      </c>
      <c r="M87" s="36"/>
      <c r="N87" s="38" t="str">
        <f>image("https://i.imgur.com/XIu6jDl.png")</f>
        <v/>
      </c>
      <c r="O87" s="36"/>
      <c r="P87" s="38"/>
      <c r="Q87" s="36"/>
      <c r="R87" s="33"/>
    </row>
    <row r="88" ht="26.25" customHeight="1">
      <c r="A88" s="15"/>
      <c r="B88" s="40"/>
      <c r="C88" s="41"/>
      <c r="D88" s="40" t="str">
        <f>image("https://i.imgur.com/JDgAgAO.png")</f>
        <v/>
      </c>
      <c r="E88" s="41"/>
      <c r="F88" s="40" t="str">
        <f>image("https://i.imgur.com/XIu6jDl.png")</f>
        <v/>
      </c>
      <c r="G88" s="41"/>
      <c r="H88" s="40"/>
      <c r="I88" s="41"/>
      <c r="J88" s="40" t="str">
        <f>image("https://i.imgur.com/N2Wqr43.png")</f>
        <v/>
      </c>
      <c r="K88" s="41"/>
      <c r="L88" s="43"/>
      <c r="M88" s="41"/>
      <c r="N88" s="40" t="str">
        <f>image("https://i.imgur.com/N2Wqr43.png")</f>
        <v/>
      </c>
      <c r="O88" s="41"/>
      <c r="P88" s="40"/>
      <c r="Q88" s="41"/>
      <c r="R88" s="33"/>
    </row>
    <row r="89" ht="26.25" customHeight="1">
      <c r="A89" s="15"/>
      <c r="B89" s="16" t="str">
        <f>image("https://i.imgur.com/a9HBljD.png")</f>
        <v/>
      </c>
      <c r="C89" s="20" t="str">
        <f>image("https://pokejungle.net/sprites/shiny/"&amp;B85&amp;".png")</f>
        <v/>
      </c>
      <c r="D89" s="16" t="str">
        <f>image("https://i.imgur.com/lKAfx6k.png")</f>
        <v/>
      </c>
      <c r="E89" s="20" t="str">
        <f>image("https://pokejungle.net/sprites/shiny/"&amp;D85&amp;".png")</f>
        <v/>
      </c>
      <c r="F89" s="16" t="str">
        <f>image("https://i.imgur.com/beHgI95.png")</f>
        <v/>
      </c>
      <c r="G89" s="20" t="str">
        <f>image("https://pokejungle.net/sprites/shiny/"&amp;F85&amp;".png")</f>
        <v/>
      </c>
      <c r="H89" s="16" t="str">
        <f>image("https://i.imgur.com/XNzvO0H.png")</f>
        <v/>
      </c>
      <c r="I89" s="20" t="str">
        <f>image("https://pokejungle.net/sprites/shiny/"&amp;H85&amp;".png")</f>
        <v/>
      </c>
      <c r="J89" s="16" t="str">
        <f>image("https://i.imgur.com/VQL4lPa.png")</f>
        <v/>
      </c>
      <c r="K89" s="20" t="str">
        <f>image("https://pokejungle.net/sprites/shiny/"&amp;J85&amp;".png")</f>
        <v/>
      </c>
      <c r="L89" s="16" t="str">
        <f>image("https://i.imgur.com/XI18XGu.png")</f>
        <v/>
      </c>
      <c r="M89" s="20" t="str">
        <f>image("https://pokejungle.net/sprites/shiny/"&amp;L85&amp;".png")</f>
        <v/>
      </c>
      <c r="N89" s="16" t="str">
        <f>image("https://i.imgur.com/EkqYYOB.png")</f>
        <v/>
      </c>
      <c r="O89" s="20" t="str">
        <f>image("https://pokejungle.net/sprites/shiny/"&amp;N85&amp;".png")</f>
        <v/>
      </c>
      <c r="P89" s="16" t="str">
        <f>image("https://i.imgur.com/0ArMZjJ.png")</f>
        <v/>
      </c>
      <c r="Q89" s="20" t="str">
        <f>image("https://pokejungle.net/sprites/shiny/"&amp;P85&amp;".png")</f>
        <v/>
      </c>
      <c r="R89" s="33"/>
    </row>
    <row r="90" ht="26.25" customHeight="1">
      <c r="A90" s="15"/>
      <c r="B90" s="38" t="str">
        <f>image("https://i.imgur.com/0ArMZjJ.png")</f>
        <v/>
      </c>
      <c r="C90" s="36"/>
      <c r="D90" s="38" t="str">
        <f>image("https://i.imgur.com/rJhTvoD.png")</f>
        <v/>
      </c>
      <c r="E90" s="36"/>
      <c r="F90" s="35" t="str">
        <f>image("https://i.imgur.com/XIu6jDl.png")</f>
        <v/>
      </c>
      <c r="G90" s="36"/>
      <c r="H90" s="46"/>
      <c r="I90" s="36"/>
      <c r="J90" s="38" t="str">
        <f>image("https://i.imgur.com/XIu6jDl.png")</f>
        <v/>
      </c>
      <c r="K90" s="36"/>
      <c r="L90" s="46" t="str">
        <f>image("https://i.imgur.com/N2Wqr43.png")</f>
        <v/>
      </c>
      <c r="M90" s="36"/>
      <c r="N90" s="46" t="str">
        <f>image("https://i.imgur.com/N2Wqr43.png")</f>
        <v/>
      </c>
      <c r="O90" s="36"/>
      <c r="P90" s="38" t="str">
        <f>image("https://i.imgur.com/a9HBljD.png")</f>
        <v/>
      </c>
      <c r="Q90" s="36"/>
      <c r="R90" s="33"/>
    </row>
    <row r="91" ht="26.25" customHeight="1">
      <c r="A91" s="15"/>
      <c r="B91" s="40"/>
      <c r="C91" s="41"/>
      <c r="D91" s="40" t="str">
        <f>image("https://i.imgur.com/beHgI95.png")</f>
        <v/>
      </c>
      <c r="E91" s="41"/>
      <c r="F91" s="40"/>
      <c r="G91" s="41"/>
      <c r="H91" s="43"/>
      <c r="I91" s="41"/>
      <c r="J91" s="40" t="str">
        <f>image("https://i.imgur.com/N2Wqr43.png")</f>
        <v/>
      </c>
      <c r="K91" s="41"/>
      <c r="L91" s="43" t="str">
        <f>image("https://i.imgur.com/nNTmuH8.png")</f>
        <v/>
      </c>
      <c r="M91" s="41"/>
      <c r="N91" s="40" t="str">
        <f>image("https://i.imgur.com/lpOVjtL.png")</f>
        <v/>
      </c>
      <c r="O91" s="41"/>
      <c r="P91" s="40"/>
      <c r="Q91" s="41"/>
      <c r="R91" s="33"/>
    </row>
    <row r="92" ht="18.75" customHeight="1">
      <c r="A92" s="1"/>
      <c r="B92" s="8" t="s">
        <v>864</v>
      </c>
      <c r="C92" s="10" t="s">
        <v>865</v>
      </c>
      <c r="D92" s="8" t="s">
        <v>866</v>
      </c>
      <c r="E92" s="10" t="s">
        <v>867</v>
      </c>
      <c r="F92" s="69"/>
      <c r="G92" s="70"/>
      <c r="H92" s="2"/>
      <c r="I92" s="1"/>
      <c r="J92" s="2"/>
      <c r="K92" s="1"/>
      <c r="L92" s="2"/>
      <c r="M92" s="1"/>
      <c r="N92" s="2"/>
      <c r="O92" s="1"/>
      <c r="P92" s="2"/>
      <c r="Q92" s="1"/>
      <c r="R92" s="71"/>
    </row>
    <row r="93" ht="26.25" customHeight="1">
      <c r="A93" s="15"/>
      <c r="B93" s="16" t="str">
        <f>image("https://i.imgur.com/RqSOGo6.png")</f>
        <v/>
      </c>
      <c r="C93" s="20" t="str">
        <f>image("https://pokejungle.net/sprites/normal/"&amp;B92&amp;".png")</f>
        <v/>
      </c>
      <c r="D93" s="16" t="str">
        <f>image("https://i.imgur.com/bxys1sd.png")</f>
        <v/>
      </c>
      <c r="E93" s="20" t="str">
        <f>image("https://pokejungle.net/sprites/normal/"&amp;D92&amp;".png")</f>
        <v/>
      </c>
      <c r="F93" s="72"/>
      <c r="G93" s="73"/>
      <c r="H93" s="60"/>
      <c r="I93" s="74"/>
      <c r="J93" s="60"/>
      <c r="K93" s="74"/>
      <c r="L93" s="60"/>
      <c r="M93" s="74"/>
      <c r="N93" s="60"/>
      <c r="O93" s="73"/>
      <c r="P93" s="60"/>
      <c r="Q93" s="74"/>
      <c r="R93" s="1"/>
    </row>
    <row r="94" ht="26.25" customHeight="1">
      <c r="A94" s="15"/>
      <c r="B94" s="38" t="str">
        <f>image("https://i.imgur.com/lKAfx6k.png")</f>
        <v/>
      </c>
      <c r="C94" s="36"/>
      <c r="D94" s="35" t="str">
        <f>image("https://i.imgur.com/aeqHLEh.png")</f>
        <v/>
      </c>
      <c r="E94" s="36"/>
      <c r="F94" s="72"/>
      <c r="G94" s="26"/>
      <c r="H94" s="60"/>
      <c r="I94" s="75"/>
      <c r="J94" s="60"/>
      <c r="K94" s="75"/>
      <c r="L94" s="60"/>
      <c r="M94" s="75"/>
      <c r="N94" s="60"/>
      <c r="O94" s="26"/>
      <c r="P94" s="60"/>
      <c r="Q94" s="75"/>
      <c r="R94" s="1"/>
    </row>
    <row r="95" ht="26.25" customHeight="1">
      <c r="A95" s="15"/>
      <c r="B95" s="40"/>
      <c r="C95" s="41"/>
      <c r="D95" s="40"/>
      <c r="E95" s="41"/>
      <c r="F95" s="72"/>
      <c r="G95" s="52"/>
      <c r="H95" s="60"/>
      <c r="I95" s="76"/>
      <c r="J95" s="60"/>
      <c r="K95" s="76"/>
      <c r="L95" s="60"/>
      <c r="M95" s="76"/>
      <c r="N95" s="60"/>
      <c r="O95" s="52"/>
      <c r="P95" s="60"/>
      <c r="Q95" s="76"/>
      <c r="R95" s="1"/>
    </row>
    <row r="96" ht="26.25" customHeight="1">
      <c r="A96" s="15"/>
      <c r="B96" s="16" t="str">
        <f>image("https://i.imgur.com/rJhTvoD.png")</f>
        <v/>
      </c>
      <c r="C96" s="20" t="str">
        <f>image("https://pokejungle.net/sprites/shiny/"&amp;B92&amp;".png")</f>
        <v/>
      </c>
      <c r="D96" s="16" t="str">
        <f>image("https://i.imgur.com/bxys1sd.png")</f>
        <v/>
      </c>
      <c r="E96" s="20" t="str">
        <f>image("https://pokejungle.net/sprites/shiny/"&amp;D92&amp;".png")</f>
        <v/>
      </c>
      <c r="F96" s="72"/>
      <c r="G96" s="73"/>
      <c r="H96" s="60"/>
      <c r="I96" s="74"/>
      <c r="J96" s="60"/>
      <c r="K96" s="74"/>
      <c r="L96" s="60"/>
      <c r="M96" s="74"/>
      <c r="N96" s="60"/>
      <c r="O96" s="73"/>
      <c r="P96" s="60"/>
      <c r="Q96" s="74"/>
      <c r="R96" s="1"/>
    </row>
    <row r="97" ht="26.25" customHeight="1">
      <c r="A97" s="15"/>
      <c r="B97" s="38" t="str">
        <f>image("https://i.imgur.com/lKAfx6k.png")</f>
        <v/>
      </c>
      <c r="C97" s="36"/>
      <c r="D97" s="46" t="str">
        <f>image("https://i.imgur.com/aeqHLEh.png")</f>
        <v/>
      </c>
      <c r="E97" s="36"/>
      <c r="F97" s="72"/>
      <c r="G97" s="26"/>
      <c r="H97" s="60"/>
      <c r="I97" s="75"/>
      <c r="J97" s="60"/>
      <c r="K97" s="75"/>
      <c r="L97" s="60"/>
      <c r="M97" s="75"/>
      <c r="N97" s="60"/>
      <c r="O97" s="26"/>
      <c r="P97" s="60"/>
      <c r="Q97" s="75"/>
      <c r="R97" s="1"/>
    </row>
    <row r="98" ht="26.25" customHeight="1">
      <c r="A98" s="15"/>
      <c r="B98" s="40" t="str">
        <f>image("https://i.imgur.com/RqSOGo6.png")</f>
        <v/>
      </c>
      <c r="C98" s="41"/>
      <c r="D98" s="43"/>
      <c r="E98" s="41"/>
      <c r="F98" s="72"/>
      <c r="G98" s="52"/>
      <c r="H98" s="60"/>
      <c r="I98" s="76"/>
      <c r="J98" s="60"/>
      <c r="K98" s="76"/>
      <c r="L98" s="60"/>
      <c r="M98" s="76"/>
      <c r="N98" s="60"/>
      <c r="O98" s="52"/>
      <c r="P98" s="60"/>
      <c r="Q98" s="76"/>
      <c r="R98" s="1"/>
    </row>
    <row r="99" ht="18.75" customHeight="1">
      <c r="A99" s="1"/>
      <c r="B99" s="2"/>
      <c r="C99" s="1"/>
      <c r="D99" s="2"/>
      <c r="E99" s="1"/>
      <c r="F99" s="2"/>
      <c r="G99" s="1"/>
      <c r="H99" s="2"/>
      <c r="I99" s="1"/>
      <c r="J99" s="2"/>
      <c r="K99" s="1"/>
      <c r="L99" s="2"/>
      <c r="M99" s="1"/>
      <c r="N99" s="2"/>
      <c r="O99" s="1"/>
      <c r="P99" s="2"/>
      <c r="Q99" s="1"/>
      <c r="R99" s="1"/>
    </row>
  </sheetData>
  <mergeCells count="224">
    <mergeCell ref="I19:I21"/>
    <mergeCell ref="I23:I25"/>
    <mergeCell ref="I30:I32"/>
    <mergeCell ref="I33:I35"/>
    <mergeCell ref="I37:I39"/>
    <mergeCell ref="I40:I42"/>
    <mergeCell ref="I44:I46"/>
    <mergeCell ref="I79:I81"/>
    <mergeCell ref="I82:I84"/>
    <mergeCell ref="I86:I88"/>
    <mergeCell ref="I89:I91"/>
    <mergeCell ref="I93:I95"/>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40:O42"/>
    <mergeCell ref="O44:O46"/>
    <mergeCell ref="O47:O49"/>
    <mergeCell ref="O51:O53"/>
    <mergeCell ref="O54:O56"/>
    <mergeCell ref="O58:O60"/>
    <mergeCell ref="O61:O63"/>
    <mergeCell ref="I72:I74"/>
    <mergeCell ref="I75:I77"/>
    <mergeCell ref="M72:M74"/>
    <mergeCell ref="M75:M77"/>
    <mergeCell ref="M79:M81"/>
    <mergeCell ref="M82:M84"/>
    <mergeCell ref="M86:M88"/>
    <mergeCell ref="M89:M91"/>
    <mergeCell ref="M93:M95"/>
    <mergeCell ref="M58:M60"/>
    <mergeCell ref="M61:M63"/>
    <mergeCell ref="M65:M67"/>
    <mergeCell ref="K68:K70"/>
    <mergeCell ref="M68:M70"/>
    <mergeCell ref="K72:K74"/>
    <mergeCell ref="K75:K77"/>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79:Q81"/>
    <mergeCell ref="Q82:Q84"/>
    <mergeCell ref="Q86:Q88"/>
    <mergeCell ref="Q89:Q91"/>
    <mergeCell ref="Q93:Q95"/>
    <mergeCell ref="Q96:Q98"/>
    <mergeCell ref="Q54:Q56"/>
    <mergeCell ref="Q58:Q60"/>
    <mergeCell ref="Q61:Q63"/>
    <mergeCell ref="Q65:Q67"/>
    <mergeCell ref="Q68:Q70"/>
    <mergeCell ref="Q72:Q74"/>
    <mergeCell ref="Q75:Q77"/>
    <mergeCell ref="K61:K63"/>
    <mergeCell ref="K65:K67"/>
    <mergeCell ref="K79:K81"/>
    <mergeCell ref="K82:K84"/>
    <mergeCell ref="K86:K88"/>
    <mergeCell ref="K89:K91"/>
    <mergeCell ref="K93:K95"/>
    <mergeCell ref="K96:K98"/>
    <mergeCell ref="K37:K39"/>
    <mergeCell ref="K40:K42"/>
    <mergeCell ref="K44:K46"/>
    <mergeCell ref="K47:K49"/>
    <mergeCell ref="K51:K53"/>
    <mergeCell ref="K54:K56"/>
    <mergeCell ref="K58:K60"/>
    <mergeCell ref="G65:G67"/>
    <mergeCell ref="G68:G70"/>
    <mergeCell ref="G40:G42"/>
    <mergeCell ref="G44:G46"/>
    <mergeCell ref="G47:G49"/>
    <mergeCell ref="G51:G53"/>
    <mergeCell ref="G54:G56"/>
    <mergeCell ref="G58:G60"/>
    <mergeCell ref="G61:G63"/>
    <mergeCell ref="E75:E77"/>
    <mergeCell ref="E79:E81"/>
    <mergeCell ref="E82:E84"/>
    <mergeCell ref="E58:E60"/>
    <mergeCell ref="E61:E63"/>
    <mergeCell ref="E65:E67"/>
    <mergeCell ref="E68:E70"/>
    <mergeCell ref="E72:E74"/>
    <mergeCell ref="G72:G74"/>
    <mergeCell ref="G75:G77"/>
    <mergeCell ref="O89:O91"/>
    <mergeCell ref="O93:O95"/>
    <mergeCell ref="M96:M98"/>
    <mergeCell ref="O96:O98"/>
    <mergeCell ref="O65:O67"/>
    <mergeCell ref="O68:O70"/>
    <mergeCell ref="O72:O74"/>
    <mergeCell ref="O75:O77"/>
    <mergeCell ref="O79:O81"/>
    <mergeCell ref="O82:O84"/>
    <mergeCell ref="O86:O88"/>
    <mergeCell ref="E93:E95"/>
    <mergeCell ref="E96:E98"/>
    <mergeCell ref="I96:I98"/>
    <mergeCell ref="G79:G81"/>
    <mergeCell ref="G82:G84"/>
    <mergeCell ref="E86:E88"/>
    <mergeCell ref="G86:G88"/>
    <mergeCell ref="E89:E91"/>
    <mergeCell ref="G89:G91"/>
    <mergeCell ref="G93:G95"/>
    <mergeCell ref="G96:G98"/>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C86:C88"/>
    <mergeCell ref="C89:C91"/>
    <mergeCell ref="C93:C95"/>
    <mergeCell ref="C96:C98"/>
    <mergeCell ref="C61:C63"/>
    <mergeCell ref="C65:C67"/>
    <mergeCell ref="C68:C70"/>
    <mergeCell ref="C72:C74"/>
    <mergeCell ref="C75:C77"/>
    <mergeCell ref="C79:C81"/>
    <mergeCell ref="C82:C8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6"/>
      <c r="B1" s="8" t="s">
        <v>8</v>
      </c>
      <c r="C1" s="10" t="s">
        <v>12</v>
      </c>
      <c r="D1" s="8" t="s">
        <v>16</v>
      </c>
      <c r="E1" s="10" t="s">
        <v>20</v>
      </c>
      <c r="F1" s="8" t="s">
        <v>23</v>
      </c>
      <c r="G1" s="10" t="s">
        <v>26</v>
      </c>
      <c r="H1" s="8" t="s">
        <v>29</v>
      </c>
      <c r="I1" s="10" t="s">
        <v>32</v>
      </c>
      <c r="J1" s="8" t="s">
        <v>33</v>
      </c>
      <c r="K1" s="10" t="s">
        <v>35</v>
      </c>
      <c r="L1" s="8" t="s">
        <v>37</v>
      </c>
      <c r="M1" s="10" t="s">
        <v>39</v>
      </c>
      <c r="N1" s="8" t="s">
        <v>41</v>
      </c>
      <c r="O1" s="10" t="s">
        <v>43</v>
      </c>
      <c r="P1" s="8" t="s">
        <v>45</v>
      </c>
      <c r="Q1" s="10" t="s">
        <v>46</v>
      </c>
      <c r="R1" s="14"/>
    </row>
    <row r="2" ht="26.25" customHeight="1">
      <c r="A2" s="15"/>
      <c r="B2" s="16" t="str">
        <f>image("https://i.imgur.com/VQL4lPa.png")</f>
        <v/>
      </c>
      <c r="C2" s="20" t="str">
        <f>image("https://pokejungle.net/sprites/normal/"&amp;B1&amp;".png")</f>
        <v/>
      </c>
      <c r="D2" s="16" t="str">
        <f>image("https://i.imgur.com/VQL4lPa.png")</f>
        <v/>
      </c>
      <c r="E2" s="20" t="str">
        <f>image("https://pokejungle.net/sprites/normal/"&amp;D1&amp;".png")</f>
        <v/>
      </c>
      <c r="F2" s="16" t="str">
        <f>image("https://i.imgur.com/VQL4lPa.png")</f>
        <v/>
      </c>
      <c r="G2" s="20" t="str">
        <f>image("https://pokejungle.net/sprites/normal/"&amp;F1&amp;".png")</f>
        <v/>
      </c>
      <c r="H2" s="24" t="str">
        <f>image("https://i.imgur.com/lKAfx6k.png")</f>
        <v/>
      </c>
      <c r="I2" s="20" t="str">
        <f>image("https://pokejungle.net/sprites/normal/"&amp;H1&amp;".png")</f>
        <v/>
      </c>
      <c r="J2" s="16" t="str">
        <f>image("https://i.imgur.com/lKAfx6k.png")</f>
        <v/>
      </c>
      <c r="K2" s="20" t="str">
        <f>image("https://pokejungle.net/sprites/normal/"&amp;J1&amp;".png")</f>
        <v/>
      </c>
      <c r="L2" s="28" t="str">
        <f>image("https://i.imgur.com/lKAfx6k.png")</f>
        <v/>
      </c>
      <c r="M2" s="20" t="str">
        <f>image("https://pokejungle.net/sprites/normal/"&amp;L1&amp;".png")</f>
        <v/>
      </c>
      <c r="N2" s="16" t="str">
        <f>image("https://i.imgur.com/ef1o2lD.png")</f>
        <v/>
      </c>
      <c r="O2" s="20" t="str">
        <f>image("https://pokejungle.net/sprites/normal/"&amp;N1&amp;".png")</f>
        <v/>
      </c>
      <c r="P2" s="16" t="str">
        <f>image("https://i.imgur.com/ef1o2lD.png")</f>
        <v/>
      </c>
      <c r="Q2" s="20" t="str">
        <f>image("https://pokejungle.net/sprites/normal/"&amp;P1&amp;".png")</f>
        <v/>
      </c>
      <c r="R2" s="33"/>
    </row>
    <row r="3" ht="26.25" customHeight="1">
      <c r="A3" s="15"/>
      <c r="B3" s="38" t="str">
        <f>image("https://i.imgur.com/XIu6jDl.png")</f>
        <v/>
      </c>
      <c r="C3" s="36"/>
      <c r="D3" s="35" t="str">
        <f>image("https://i.imgur.com/XIu6jDl.png")</f>
        <v/>
      </c>
      <c r="E3" s="36"/>
      <c r="F3" s="35" t="str">
        <f>image("https://i.imgur.com/XIu6jDl.png")</f>
        <v/>
      </c>
      <c r="G3" s="36"/>
      <c r="H3" s="37" t="str">
        <f>image("https://i.imgur.com/RqSOGo6.png")</f>
        <v/>
      </c>
      <c r="I3" s="36"/>
      <c r="J3" s="38" t="str">
        <f>image("https://i.imgur.com/RqSOGo6.png")</f>
        <v/>
      </c>
      <c r="K3" s="36"/>
      <c r="L3" s="35" t="str">
        <f>image("https://i.imgur.com/RqSOGo6.png")</f>
        <v/>
      </c>
      <c r="M3" s="36"/>
      <c r="N3" s="38" t="str">
        <f>image("https://i.imgur.com/XzidFHI.png")</f>
        <v/>
      </c>
      <c r="O3" s="36"/>
      <c r="P3" s="38" t="str">
        <f>image("https://i.imgur.com/XzidFHI.png")</f>
        <v/>
      </c>
      <c r="Q3" s="36"/>
      <c r="R3" s="33"/>
    </row>
    <row r="4" ht="26.25" customHeight="1">
      <c r="A4" s="15"/>
      <c r="B4" s="40"/>
      <c r="C4" s="41"/>
      <c r="D4" s="40"/>
      <c r="E4" s="41"/>
      <c r="F4" s="40"/>
      <c r="G4" s="41"/>
      <c r="H4" s="40"/>
      <c r="I4" s="41"/>
      <c r="J4" s="40"/>
      <c r="K4" s="41"/>
      <c r="L4" s="40" t="str">
        <f>image("https://i.imgur.com/GyNf8BH.png")</f>
        <v/>
      </c>
      <c r="M4" s="41"/>
      <c r="N4" s="43" t="str">
        <f>image("https://i.imgur.com/SF5CZ6U.png")</f>
        <v/>
      </c>
      <c r="O4" s="41"/>
      <c r="P4" s="43" t="str">
        <f>image("https://i.imgur.com/SF5CZ6U.png")</f>
        <v/>
      </c>
      <c r="Q4" s="41"/>
      <c r="R4" s="33"/>
    </row>
    <row r="5" ht="26.25" customHeight="1">
      <c r="A5" s="15"/>
      <c r="B5" s="16" t="str">
        <f>image("https://i.imgur.com/ef1o2lD.png")</f>
        <v/>
      </c>
      <c r="C5" s="20" t="str">
        <f>image("https://pokejungle.net/sprites/shiny/"&amp;B1&amp;".png")</f>
        <v/>
      </c>
      <c r="D5" s="16" t="str">
        <f>image("https://i.imgur.com/ef1o2lD.png")</f>
        <v/>
      </c>
      <c r="E5" s="20" t="str">
        <f>image("https://pokejungle.net/sprites/shiny/"&amp;D1&amp;".png")</f>
        <v/>
      </c>
      <c r="F5" s="16" t="str">
        <f>image("https://i.imgur.com/ef1o2lD.png")</f>
        <v/>
      </c>
      <c r="G5" s="20" t="str">
        <f>image("https://pokejungle.net/sprites/shiny/"&amp;F1&amp;".png")</f>
        <v/>
      </c>
      <c r="H5" s="24" t="str">
        <f>image("https://i.imgur.com/lKAfx6k.png")</f>
        <v/>
      </c>
      <c r="I5" s="20" t="str">
        <f>image("https://pokejungle.net/sprites/shiny/"&amp;H1&amp;"-f.png")</f>
        <v/>
      </c>
      <c r="J5" s="16" t="str">
        <f>image("https://i.imgur.com/rJhTvoD.png")</f>
        <v/>
      </c>
      <c r="K5" s="20" t="str">
        <f>image("https://pokejungle.net/sprites/shiny/"&amp;J1&amp;"-f.png")</f>
        <v/>
      </c>
      <c r="L5" s="16" t="str">
        <f>image("https://i.imgur.com/rJhTvoD.png")</f>
        <v/>
      </c>
      <c r="M5" s="20" t="str">
        <f>image("https://pokejungle.net/sprites/shiny/"&amp;L1&amp;"-f.png")</f>
        <v/>
      </c>
      <c r="N5" s="16" t="str">
        <f>image("https://i.imgur.com/XI18XGu.png")</f>
        <v/>
      </c>
      <c r="O5" s="20" t="str">
        <f>image("https://pokejungle.net/sprites/shiny/"&amp;N1&amp;".png")</f>
        <v/>
      </c>
      <c r="P5" s="16" t="str">
        <f>image("https://i.imgur.com/XI18XGu.png")</f>
        <v/>
      </c>
      <c r="Q5" s="20" t="str">
        <f>image("https://pokejungle.net/sprites/shiny/"&amp;P1&amp;".png")</f>
        <v/>
      </c>
      <c r="R5" s="33"/>
    </row>
    <row r="6" ht="26.25" customHeight="1">
      <c r="A6" s="15"/>
      <c r="B6" s="38" t="str">
        <f>image("https://i.imgur.com/JDgAgAO.png")</f>
        <v/>
      </c>
      <c r="C6" s="36"/>
      <c r="D6" s="38" t="str">
        <f>image("https://i.imgur.com/JDgAgAO.png")</f>
        <v/>
      </c>
      <c r="E6" s="36"/>
      <c r="F6" s="38" t="str">
        <f>image("https://i.imgur.com/JDgAgAO.png")</f>
        <v/>
      </c>
      <c r="G6" s="36"/>
      <c r="H6" s="38" t="str">
        <f>image("https://i.imgur.com/RqSOGo6.png")</f>
        <v/>
      </c>
      <c r="I6" s="36"/>
      <c r="J6" s="38" t="str">
        <f>image("https://i.imgur.com/RqSOGo6.png")</f>
        <v/>
      </c>
      <c r="K6" s="36"/>
      <c r="L6" s="46" t="str">
        <f>image("https://i.imgur.com/RqSOGo6.png")</f>
        <v/>
      </c>
      <c r="M6" s="36"/>
      <c r="N6" s="38" t="str">
        <f>image("https://i.imgur.com/nNTmuH8.png")</f>
        <v/>
      </c>
      <c r="O6" s="36"/>
      <c r="P6" s="38" t="str">
        <f>image("https://i.imgur.com/nNTmuH8.png")</f>
        <v/>
      </c>
      <c r="Q6" s="36"/>
      <c r="R6" s="33"/>
    </row>
    <row r="7" ht="26.25" customHeight="1">
      <c r="A7" s="15"/>
      <c r="B7" s="40" t="str">
        <f>image("https://i.imgur.com/SF5CZ6U.png")</f>
        <v/>
      </c>
      <c r="C7" s="41"/>
      <c r="D7" s="43" t="str">
        <f>image("https://i.imgur.com/SF5CZ6U.png")</f>
        <v/>
      </c>
      <c r="E7" s="41"/>
      <c r="F7" s="40" t="str">
        <f>image("https://i.imgur.com/SF5CZ6U.png")</f>
        <v/>
      </c>
      <c r="G7" s="41"/>
      <c r="H7" s="40" t="str">
        <f>image("https://i.imgur.com/rJhTvoD.png")</f>
        <v/>
      </c>
      <c r="I7" s="41"/>
      <c r="J7" s="40" t="str">
        <f>image("https://i.imgur.com/lKAfx6k.png")</f>
        <v/>
      </c>
      <c r="K7" s="41"/>
      <c r="L7" s="40" t="str">
        <f>image("https://i.imgur.com/GyNf8BH.png")</f>
        <v/>
      </c>
      <c r="M7" s="41"/>
      <c r="N7" s="40" t="str">
        <f>image("https://i.imgur.com/rAI9Gyi.png")</f>
        <v/>
      </c>
      <c r="O7" s="41"/>
      <c r="P7" s="40" t="str">
        <f>image("https://i.imgur.com/rAI9Gyi.png")</f>
        <v/>
      </c>
      <c r="Q7" s="41"/>
      <c r="R7" s="33"/>
    </row>
    <row r="8" ht="18.75" customHeight="1">
      <c r="A8" s="6"/>
      <c r="B8" s="8" t="s">
        <v>72</v>
      </c>
      <c r="C8" s="10" t="s">
        <v>73</v>
      </c>
      <c r="D8" s="8" t="s">
        <v>74</v>
      </c>
      <c r="E8" s="10" t="s">
        <v>75</v>
      </c>
      <c r="F8" s="8" t="s">
        <v>76</v>
      </c>
      <c r="G8" s="10" t="s">
        <v>77</v>
      </c>
      <c r="H8" s="8" t="s">
        <v>78</v>
      </c>
      <c r="I8" s="10" t="s">
        <v>79</v>
      </c>
      <c r="J8" s="8" t="s">
        <v>78</v>
      </c>
      <c r="K8" s="10" t="s">
        <v>80</v>
      </c>
      <c r="L8" s="8" t="s">
        <v>82</v>
      </c>
      <c r="M8" s="10" t="s">
        <v>84</v>
      </c>
      <c r="N8" s="8" t="s">
        <v>82</v>
      </c>
      <c r="O8" s="10" t="s">
        <v>86</v>
      </c>
      <c r="P8" s="8" t="s">
        <v>88</v>
      </c>
      <c r="Q8" s="10" t="s">
        <v>90</v>
      </c>
      <c r="R8" s="14"/>
    </row>
    <row r="9" ht="26.25" customHeight="1">
      <c r="A9" s="15"/>
      <c r="B9" s="16" t="str">
        <f>image("https://i.imgur.com/ef1o2lD.png")</f>
        <v/>
      </c>
      <c r="C9" s="20" t="str">
        <f>image("https://pokejungle.net/sprites/normal/"&amp;B8&amp;".png")</f>
        <v/>
      </c>
      <c r="D9" s="16" t="str">
        <f>image("https://i.imgur.com/beHgI95.png")</f>
        <v/>
      </c>
      <c r="E9" s="20" t="str">
        <f>image("https://pokejungle.net/sprites/normal/"&amp;D8&amp;".png")</f>
        <v/>
      </c>
      <c r="F9" s="16" t="str">
        <f>image("https://i.imgur.com/beHgI95.png")</f>
        <v/>
      </c>
      <c r="G9" s="20" t="str">
        <f>image("https://pokejungle.net/sprites/normal/"&amp;F8&amp;".png")</f>
        <v/>
      </c>
      <c r="H9" s="24" t="str">
        <f>image("https://i.imgur.com/lpOVjtL.png")</f>
        <v/>
      </c>
      <c r="I9" s="20" t="str">
        <f>image("https://pokejungle.net/sprites/normal/"&amp;H8&amp;".png")</f>
        <v/>
      </c>
      <c r="J9" s="16" t="str">
        <f>image("https://i.imgur.com/JOd7Boe.png")</f>
        <v/>
      </c>
      <c r="K9" s="20" t="str">
        <f>image("https://pokejungle.net/sprites/normal/"&amp;J8&amp;"-1.png")</f>
        <v/>
      </c>
      <c r="L9" s="28" t="str">
        <f>image("https://i.imgur.com/lpOVjtL.png")</f>
        <v/>
      </c>
      <c r="M9" s="20" t="str">
        <f>image("https://pokejungle.net/sprites/normal/"&amp;L8&amp;".png")</f>
        <v/>
      </c>
      <c r="N9" s="16" t="str">
        <f>image("https://i.imgur.com/JOd7Boe.png")</f>
        <v/>
      </c>
      <c r="O9" s="20" t="str">
        <f>image("https://pokejungle.net/sprites/normal/"&amp;N8&amp;"-1.png")</f>
        <v/>
      </c>
      <c r="P9" s="16" t="str">
        <f>image("https://i.imgur.com/GyNf8BH.png")</f>
        <v/>
      </c>
      <c r="Q9" s="20" t="str">
        <f>image("https://pokejungle.net/sprites/normal/"&amp;P8&amp;".png")</f>
        <v/>
      </c>
      <c r="R9" s="33"/>
    </row>
    <row r="10" ht="26.25" customHeight="1">
      <c r="A10" s="15"/>
      <c r="B10" s="38" t="str">
        <f>image("https://i.imgur.com/XzidFHI.png")</f>
        <v/>
      </c>
      <c r="C10" s="36"/>
      <c r="D10" s="35" t="str">
        <f>image("https://i.imgur.com/NkILW1J.png")</f>
        <v/>
      </c>
      <c r="E10" s="36"/>
      <c r="F10" s="35" t="str">
        <f>image("https://i.imgur.com/NkILW1J.png")</f>
        <v/>
      </c>
      <c r="G10" s="36"/>
      <c r="H10" s="35" t="str">
        <f>image("https://i.imgur.com/XIu6jDl.png")</f>
        <v/>
      </c>
      <c r="I10" s="36"/>
      <c r="J10" s="38" t="str">
        <f>image("https://i.imgur.com/EkqYYOB.png")</f>
        <v/>
      </c>
      <c r="K10" s="36"/>
      <c r="L10" s="35" t="str">
        <f>image("https://i.imgur.com/XIu6jDl.png")</f>
        <v/>
      </c>
      <c r="M10" s="36"/>
      <c r="N10" s="38" t="str">
        <f>image("https://i.imgur.com/EkqYYOB.png")</f>
        <v/>
      </c>
      <c r="O10" s="36"/>
      <c r="P10" s="38" t="str">
        <f>image("https://i.imgur.com/bxys1sd.png")</f>
        <v/>
      </c>
      <c r="Q10" s="36"/>
      <c r="R10" s="33"/>
    </row>
    <row r="11" ht="26.25" customHeight="1">
      <c r="A11" s="15"/>
      <c r="B11" s="43" t="str">
        <f>image("https://i.imgur.com/SF5CZ6U.png")</f>
        <v/>
      </c>
      <c r="C11" s="41"/>
      <c r="D11" s="40" t="str">
        <f>image("https://i.imgur.com/EkqYYOB.png")</f>
        <v/>
      </c>
      <c r="E11" s="41"/>
      <c r="F11" s="40" t="str">
        <f>image("https://i.imgur.com/EkqYYOB.png")</f>
        <v/>
      </c>
      <c r="G11" s="41"/>
      <c r="H11" s="40"/>
      <c r="I11" s="41"/>
      <c r="J11" s="40" t="str">
        <f>image("https://i.imgur.com/rJhTvoD.png")</f>
        <v/>
      </c>
      <c r="K11" s="41"/>
      <c r="L11" s="43"/>
      <c r="M11" s="41"/>
      <c r="N11" s="40" t="str">
        <f>image("https://i.imgur.com/rJhTvoD.png")</f>
        <v/>
      </c>
      <c r="O11" s="41"/>
      <c r="P11" s="40" t="str">
        <f>image("https://i.imgur.com/0ArMZjJ.png")</f>
        <v/>
      </c>
      <c r="Q11" s="41"/>
      <c r="R11" s="33"/>
    </row>
    <row r="12" ht="26.25" customHeight="1">
      <c r="A12" s="15"/>
      <c r="B12" s="16" t="str">
        <f>image("https://i.imgur.com/XI18XGu.png")</f>
        <v/>
      </c>
      <c r="C12" s="20" t="str">
        <f>image("https://pokejungle.net/sprites/shiny/"&amp;B8&amp;".png")</f>
        <v/>
      </c>
      <c r="D12" s="16" t="str">
        <f>image("https://i.imgur.com/rJhTvoD.png")</f>
        <v/>
      </c>
      <c r="E12" s="20" t="str">
        <f>image("https://pokejungle.net/sprites/shiny/"&amp;D8&amp;".png")</f>
        <v/>
      </c>
      <c r="F12" s="16" t="str">
        <f>image("https://i.imgur.com/rJhTvoD.png")</f>
        <v/>
      </c>
      <c r="G12" s="20" t="str">
        <f>image("https://pokejungle.net/sprites/shiny/"&amp;F8&amp;".png")</f>
        <v/>
      </c>
      <c r="H12" s="16" t="str">
        <f>image("https://i.imgur.com/RqSOGo6.png")</f>
        <v/>
      </c>
      <c r="I12" s="20" t="str">
        <f>image("https://pokejungle.net/sprites/shiny/"&amp;H8&amp;".png")</f>
        <v/>
      </c>
      <c r="J12" s="16" t="str">
        <f>image("https://i.imgur.com/ef1o2lD.png")</f>
        <v/>
      </c>
      <c r="K12" s="20" t="str">
        <f>image("https://pokejungle.net/sprites/shiny/"&amp;J8&amp;"-1.png")</f>
        <v/>
      </c>
      <c r="L12" s="16" t="str">
        <f>image("https://i.imgur.com/RqSOGo6.png")</f>
        <v/>
      </c>
      <c r="M12" s="20" t="str">
        <f>image("https://pokejungle.net/sprites/shiny/"&amp;L8&amp;".png")</f>
        <v/>
      </c>
      <c r="N12" s="16" t="str">
        <f>image("https://i.imgur.com/ef1o2lD.png")</f>
        <v/>
      </c>
      <c r="O12" s="20" t="str">
        <f>image("https://pokejungle.net/sprites/shiny/"&amp;N8&amp;"-1.png")</f>
        <v/>
      </c>
      <c r="P12" s="16" t="str">
        <f>image("https://i.imgur.com/rAI9Gyi.png")</f>
        <v/>
      </c>
      <c r="Q12" s="20" t="str">
        <f>image("https://pokejungle.net/sprites/shiny/"&amp;P8&amp;".png")</f>
        <v/>
      </c>
      <c r="R12" s="33"/>
    </row>
    <row r="13" ht="26.25" customHeight="1">
      <c r="A13" s="15"/>
      <c r="B13" s="38" t="str">
        <f>image("https://i.imgur.com/nNTmuH8.png")</f>
        <v/>
      </c>
      <c r="C13" s="36"/>
      <c r="D13" s="46" t="str">
        <f>image("https://i.imgur.com/EkqYYOB.png")</f>
        <v/>
      </c>
      <c r="E13" s="36"/>
      <c r="F13" s="35" t="str">
        <f>image("https://i.imgur.com/EkqYYOB.png")</f>
        <v/>
      </c>
      <c r="G13" s="36"/>
      <c r="H13" s="38" t="str">
        <f>image("https://i.imgur.com/GyNf8BH.png")</f>
        <v/>
      </c>
      <c r="I13" s="36"/>
      <c r="J13" s="38" t="str">
        <f>image("https://i.imgur.com/SF5CZ6U.png")</f>
        <v/>
      </c>
      <c r="K13" s="36"/>
      <c r="L13" s="38" t="str">
        <f>image("https://i.imgur.com/GyNf8BH.png")</f>
        <v/>
      </c>
      <c r="M13" s="36"/>
      <c r="N13" s="38" t="str">
        <f>image("https://i.imgur.com/SF5CZ6U.png")</f>
        <v/>
      </c>
      <c r="O13" s="36"/>
      <c r="P13" s="38" t="str">
        <f>image("https://i.imgur.com/XI18XGu.png")</f>
        <v/>
      </c>
      <c r="Q13" s="36"/>
      <c r="R13" s="33"/>
    </row>
    <row r="14" ht="26.25" customHeight="1">
      <c r="A14" s="15"/>
      <c r="B14" s="40" t="str">
        <f>image("https://i.imgur.com/rAI9Gyi.png")</f>
        <v/>
      </c>
      <c r="C14" s="41"/>
      <c r="D14" s="40" t="str">
        <f>image("https://i.imgur.com/lpOVjtL.png")</f>
        <v/>
      </c>
      <c r="E14" s="41"/>
      <c r="F14" s="40" t="str">
        <f>image("https://i.imgur.com/lpOVjtL.png")</f>
        <v/>
      </c>
      <c r="G14" s="41"/>
      <c r="H14" s="43" t="str">
        <f>image("https://i.imgur.com/bxys1sd.png")</f>
        <v/>
      </c>
      <c r="I14" s="41"/>
      <c r="J14" s="40" t="str">
        <f>image("https://i.imgur.com/GyNf8BH.png")</f>
        <v/>
      </c>
      <c r="K14" s="41"/>
      <c r="L14" s="43" t="str">
        <f>image("https://i.imgur.com/bxys1sd.png")</f>
        <v/>
      </c>
      <c r="M14" s="41"/>
      <c r="N14" s="40" t="str">
        <f>image("https://i.imgur.com/GyNf8BH.png")</f>
        <v/>
      </c>
      <c r="O14" s="41"/>
      <c r="P14" s="40" t="str">
        <f>image("https://i.imgur.com/nNTmuH8.png")</f>
        <v/>
      </c>
      <c r="Q14" s="41"/>
      <c r="R14" s="33"/>
    </row>
    <row r="15" ht="18.75" customHeight="1">
      <c r="A15" s="6"/>
      <c r="B15" s="8" t="s">
        <v>118</v>
      </c>
      <c r="C15" s="10" t="s">
        <v>119</v>
      </c>
      <c r="D15" s="8" t="s">
        <v>120</v>
      </c>
      <c r="E15" s="10" t="s">
        <v>121</v>
      </c>
      <c r="F15" s="8" t="s">
        <v>122</v>
      </c>
      <c r="G15" s="10" t="s">
        <v>123</v>
      </c>
      <c r="H15" s="8" t="s">
        <v>124</v>
      </c>
      <c r="I15" s="10" t="s">
        <v>125</v>
      </c>
      <c r="J15" s="8" t="s">
        <v>126</v>
      </c>
      <c r="K15" s="10" t="s">
        <v>127</v>
      </c>
      <c r="L15" s="8" t="s">
        <v>128</v>
      </c>
      <c r="M15" s="10" t="s">
        <v>129</v>
      </c>
      <c r="N15" s="8" t="s">
        <v>130</v>
      </c>
      <c r="O15" s="10" t="s">
        <v>131</v>
      </c>
      <c r="P15" s="8" t="s">
        <v>132</v>
      </c>
      <c r="Q15" s="10" t="s">
        <v>133</v>
      </c>
      <c r="R15" s="14"/>
    </row>
    <row r="16" ht="26.25" customHeight="1">
      <c r="A16" s="15"/>
      <c r="B16" s="16" t="str">
        <f>image("https://i.imgur.com/0ArMZjJ.png")</f>
        <v/>
      </c>
      <c r="C16" s="20" t="str">
        <f>image("https://pokejungle.net/sprites/normal/"&amp;B15&amp;".png")</f>
        <v/>
      </c>
      <c r="D16" s="16" t="str">
        <f>image("https://i.imgur.com/rJhTvoD.png")</f>
        <v/>
      </c>
      <c r="E16" s="20" t="str">
        <f>image("https://pokejungle.net/sprites/normal/"&amp;D15&amp;"-f.png")</f>
        <v/>
      </c>
      <c r="F16" s="16" t="str">
        <f>image("https://i.imgur.com/XI18XGu.png")</f>
        <v/>
      </c>
      <c r="G16" s="20" t="str">
        <f>image("https://pokejungle.net/sprites/normal/"&amp;F15&amp;".png")</f>
        <v/>
      </c>
      <c r="H16" s="24" t="str">
        <f>image("https://i.imgur.com/VQL4lPa.png")</f>
        <v/>
      </c>
      <c r="I16" s="20" t="str">
        <f>image("https://pokejungle.net/sprites/normal/"&amp;H15&amp;"-f.png")</f>
        <v/>
      </c>
      <c r="J16" s="28" t="str">
        <f>image("https://i.imgur.com/VQL4lPa.png")</f>
        <v/>
      </c>
      <c r="K16" s="20" t="str">
        <f>image("https://pokejungle.net/sprites/normal/"&amp;J15&amp;".png")</f>
        <v/>
      </c>
      <c r="L16" s="28" t="str">
        <f>image("https://i.imgur.com/VQL4lPa.png")</f>
        <v/>
      </c>
      <c r="M16" s="20" t="str">
        <f>image("https://pokejungle.net/sprites/normal/"&amp;L15&amp;".png")</f>
        <v/>
      </c>
      <c r="N16" s="16" t="str">
        <f>image("https://i.imgur.com/XIu6jDl.png")</f>
        <v/>
      </c>
      <c r="O16" s="20" t="str">
        <f>image("https://pokejungle.net/sprites/normal/"&amp;N15&amp;".png")</f>
        <v/>
      </c>
      <c r="P16" s="16" t="str">
        <f>image("https://i.imgur.com/beHgI95.png")</f>
        <v/>
      </c>
      <c r="Q16" s="20" t="str">
        <f>image("https://pokejungle.net/sprites/normal/"&amp;P15&amp;".png")</f>
        <v/>
      </c>
      <c r="R16" s="33"/>
    </row>
    <row r="17" ht="26.25" customHeight="1">
      <c r="A17" s="15"/>
      <c r="B17" s="38" t="str">
        <f>image("https://i.imgur.com/GyNf8BH.png")</f>
        <v/>
      </c>
      <c r="C17" s="36"/>
      <c r="D17" s="38" t="str">
        <f>image("https://i.imgur.com/JDgAgAO.png")</f>
        <v/>
      </c>
      <c r="E17" s="36"/>
      <c r="F17" s="37" t="str">
        <f>image("https://i.imgur.com/a9HBljD.png")</f>
        <v/>
      </c>
      <c r="G17" s="36"/>
      <c r="H17" s="35" t="str">
        <f>image("https://i.imgur.com/XI18XGu.png")</f>
        <v/>
      </c>
      <c r="I17" s="36"/>
      <c r="J17" s="38" t="str">
        <f>image("https://i.imgur.com/zpybKax.png")</f>
        <v/>
      </c>
      <c r="K17" s="36"/>
      <c r="L17" s="37" t="str">
        <f>image("https://i.imgur.com/ef1o2lD.png")</f>
        <v/>
      </c>
      <c r="M17" s="36"/>
      <c r="N17" s="38" t="str">
        <f>image("https://i.imgur.com/VQL4lPa.png")</f>
        <v/>
      </c>
      <c r="O17" s="36"/>
      <c r="P17" s="38" t="str">
        <f>image("https://i.imgur.com/lpOVjtL.png")</f>
        <v/>
      </c>
      <c r="Q17" s="36"/>
      <c r="R17" s="33"/>
    </row>
    <row r="18" ht="26.25" customHeight="1">
      <c r="A18" s="15"/>
      <c r="B18" s="40"/>
      <c r="C18" s="41"/>
      <c r="D18" s="40" t="str">
        <f>image("https://i.imgur.com/beHgI95.png")</f>
        <v/>
      </c>
      <c r="E18" s="41"/>
      <c r="F18" s="40" t="str">
        <f>image("https://i.imgur.com/rAI9Gyi.png")</f>
        <v/>
      </c>
      <c r="G18" s="41"/>
      <c r="H18" s="40" t="str">
        <f>image("https://i.imgur.com/XIu6jDl.png")</f>
        <v/>
      </c>
      <c r="I18" s="41"/>
      <c r="J18" s="40" t="str">
        <f>image("https://i.imgur.com/XIu6jDl.png")</f>
        <v/>
      </c>
      <c r="K18" s="41"/>
      <c r="L18" s="40" t="str">
        <f>image("https://i.imgur.com/XIu6jDl.png")</f>
        <v/>
      </c>
      <c r="M18" s="41"/>
      <c r="N18" s="40" t="str">
        <f>image("https://i.imgur.com/beHgI95.png")</f>
        <v/>
      </c>
      <c r="O18" s="41"/>
      <c r="P18" s="40" t="str">
        <f>image("https://i.imgur.com/XIu6jDl.png")</f>
        <v/>
      </c>
      <c r="Q18" s="41"/>
      <c r="R18" s="33"/>
    </row>
    <row r="19" ht="26.25" customHeight="1">
      <c r="A19" s="15"/>
      <c r="B19" s="16" t="str">
        <f>image("https://i.imgur.com/zpybKax.png")</f>
        <v/>
      </c>
      <c r="C19" s="20" t="str">
        <f>image("https://pokejungle.net/sprites/shiny/"&amp;B15&amp;".png")</f>
        <v/>
      </c>
      <c r="D19" s="16" t="str">
        <f>image("https://i.imgur.com/rJhTvoD.png")</f>
        <v/>
      </c>
      <c r="E19" s="20" t="str">
        <f>image("https://pokejungle.net/sprites/shiny/"&amp;D15&amp;".png")</f>
        <v/>
      </c>
      <c r="F19" s="16" t="str">
        <f>image("https://i.imgur.com/VQL4lPa.png")</f>
        <v/>
      </c>
      <c r="G19" s="20" t="str">
        <f>image("https://pokejungle.net/sprites/shiny/"&amp;F15&amp;".png")</f>
        <v/>
      </c>
      <c r="H19" s="16" t="str">
        <f>image("https://i.imgur.com/rAI9Gyi.png")</f>
        <v/>
      </c>
      <c r="I19" s="20" t="str">
        <f>image("https://pokejungle.net/sprites/shiny/"&amp;H15&amp;".png")</f>
        <v/>
      </c>
      <c r="J19" s="16" t="str">
        <f>image("https://i.imgur.com/ef1o2lD.png")</f>
        <v/>
      </c>
      <c r="K19" s="20" t="str">
        <f>image("https://pokejungle.net/sprites/shiny/"&amp;J15&amp;".png")</f>
        <v/>
      </c>
      <c r="L19" s="24" t="str">
        <f>image("https://i.imgur.com/XzidFHI.png")</f>
        <v/>
      </c>
      <c r="M19" s="20" t="str">
        <f>image("https://pokejungle.net/sprites/shiny/"&amp;L15&amp;".png")</f>
        <v/>
      </c>
      <c r="N19" s="24" t="str">
        <f>image("https://i.imgur.com/XzidFHI.png")</f>
        <v/>
      </c>
      <c r="O19" s="20" t="str">
        <f>image("https://pokejungle.net/sprites/shiny/"&amp;N15&amp;"-f.png")</f>
        <v/>
      </c>
      <c r="P19" s="16" t="str">
        <f>image("https://i.imgur.com/rJhTvoD.png")</f>
        <v/>
      </c>
      <c r="Q19" s="20" t="str">
        <f>image("https://pokejungle.net/sprites/shiny/"&amp;P15&amp;".png")</f>
        <v/>
      </c>
      <c r="R19" s="33"/>
    </row>
    <row r="20" ht="26.25" customHeight="1">
      <c r="A20" s="15"/>
      <c r="B20" s="38" t="str">
        <f>image("https://i.imgur.com/JDgAgAO.png")</f>
        <v/>
      </c>
      <c r="C20" s="36"/>
      <c r="D20" s="38" t="str">
        <f>image("https://i.imgur.com/JDgAgAO.png")</f>
        <v/>
      </c>
      <c r="E20" s="36"/>
      <c r="F20" s="35" t="str">
        <f>image("https://i.imgur.com/XIu6jDl.png")</f>
        <v/>
      </c>
      <c r="G20" s="36"/>
      <c r="H20" s="46" t="str">
        <f>image("https://i.imgur.com/EkqYYOB.png")</f>
        <v/>
      </c>
      <c r="I20" s="36"/>
      <c r="J20" s="38" t="str">
        <f>image("https://i.imgur.com/XzidFHI.png")</f>
        <v/>
      </c>
      <c r="K20" s="36"/>
      <c r="L20" s="37" t="str">
        <f>image("https://i.imgur.com/ef1o2lD.png")</f>
        <v/>
      </c>
      <c r="M20" s="36"/>
      <c r="N20" s="35" t="str">
        <f>image("https://i.imgur.com/XIu6jDl.png")</f>
        <v/>
      </c>
      <c r="O20" s="36"/>
      <c r="P20" s="38" t="str">
        <f>image("https://i.imgur.com/RqSOGo6.png")</f>
        <v/>
      </c>
      <c r="Q20" s="36"/>
      <c r="R20" s="33"/>
    </row>
    <row r="21" ht="26.25" customHeight="1">
      <c r="A21" s="15"/>
      <c r="B21" s="40"/>
      <c r="C21" s="41"/>
      <c r="D21" s="40" t="str">
        <f>image("https://i.imgur.com/beHgI95.png")</f>
        <v/>
      </c>
      <c r="E21" s="41"/>
      <c r="F21" s="40"/>
      <c r="G21" s="41"/>
      <c r="H21" s="43"/>
      <c r="I21" s="41"/>
      <c r="J21" s="40"/>
      <c r="K21" s="41"/>
      <c r="L21" s="43" t="str">
        <f>image("https://i.imgur.com/VQL4lPa.png")</f>
        <v/>
      </c>
      <c r="M21" s="41"/>
      <c r="N21" s="40" t="str">
        <f>image("https://i.imgur.com/JDgAgAO.png")</f>
        <v/>
      </c>
      <c r="O21" s="41"/>
      <c r="P21" s="40" t="str">
        <f>image("https://i.imgur.com/beHgI95.png")</f>
        <v/>
      </c>
      <c r="Q21" s="41"/>
      <c r="R21" s="33"/>
    </row>
    <row r="22" ht="18.75" customHeight="1">
      <c r="A22" s="6"/>
      <c r="B22" s="8" t="s">
        <v>178</v>
      </c>
      <c r="C22" s="10" t="s">
        <v>179</v>
      </c>
      <c r="D22" s="8" t="s">
        <v>180</v>
      </c>
      <c r="E22" s="10" t="s">
        <v>181</v>
      </c>
      <c r="F22" s="8" t="s">
        <v>182</v>
      </c>
      <c r="G22" s="10" t="s">
        <v>183</v>
      </c>
      <c r="H22" s="8" t="s">
        <v>184</v>
      </c>
      <c r="I22" s="10" t="s">
        <v>185</v>
      </c>
      <c r="J22" s="8" t="s">
        <v>186</v>
      </c>
      <c r="K22" s="10" t="s">
        <v>187</v>
      </c>
      <c r="L22" s="8" t="s">
        <v>188</v>
      </c>
      <c r="M22" s="10" t="s">
        <v>189</v>
      </c>
      <c r="N22" s="8" t="s">
        <v>190</v>
      </c>
      <c r="O22" s="10" t="s">
        <v>191</v>
      </c>
      <c r="P22" s="8" t="s">
        <v>192</v>
      </c>
      <c r="Q22" s="10" t="s">
        <v>193</v>
      </c>
      <c r="R22" s="14"/>
    </row>
    <row r="23" ht="26.25" customHeight="1">
      <c r="A23" s="15"/>
      <c r="B23" s="16" t="str">
        <f>image("https://i.imgur.com/XIu6jDl.png")</f>
        <v/>
      </c>
      <c r="C23" s="20" t="str">
        <f>image("https://pokejungle.net/sprites/normal/"&amp;B22&amp;"-f.png")</f>
        <v/>
      </c>
      <c r="D23" s="16" t="str">
        <f>image("https://i.imgur.com/XIu6jDl.png")</f>
        <v/>
      </c>
      <c r="E23" s="20" t="str">
        <f>image("https://pokejungle.net/sprites/normal/"&amp;D22&amp;"-f.png")</f>
        <v/>
      </c>
      <c r="F23" s="16" t="str">
        <f>image("https://i.imgur.com/SF5CZ6U.png")</f>
        <v/>
      </c>
      <c r="G23" s="20" t="str">
        <f>image("https://pokejungle.net/sprites/normal/"&amp;F22&amp;".png")</f>
        <v/>
      </c>
      <c r="H23" s="24" t="str">
        <f>image("https://i.imgur.com/SF5CZ6U.png")</f>
        <v/>
      </c>
      <c r="I23" s="20" t="str">
        <f>image("https://pokejungle.net/sprites/normal/"&amp;H22&amp;".png")</f>
        <v/>
      </c>
      <c r="J23" s="16" t="str">
        <f>image("https://i.imgur.com/XNzvO0H.png")</f>
        <v/>
      </c>
      <c r="K23" s="20" t="str">
        <f>image("https://pokejungle.net/sprites/normal/"&amp;J22&amp;".png")</f>
        <v/>
      </c>
      <c r="L23" s="28" t="str">
        <f>image("https://i.imgur.com/XNzvO0H.png")</f>
        <v/>
      </c>
      <c r="M23" s="20" t="str">
        <f>image("https://pokejungle.net/sprites/normal/"&amp;L22&amp;".png")</f>
        <v/>
      </c>
      <c r="N23" s="16" t="str">
        <f>image("https://i.imgur.com/VQL4lPa.png")</f>
        <v/>
      </c>
      <c r="O23" s="20" t="str">
        <f>image("https://pokejungle.net/sprites/normal/"&amp;N22&amp;".png")</f>
        <v/>
      </c>
      <c r="P23" s="16" t="str">
        <f>image("https://i.imgur.com/VQL4lPa.png")</f>
        <v/>
      </c>
      <c r="Q23" s="20" t="str">
        <f>image("https://pokejungle.net/sprites/normal/"&amp;P22&amp;".png")</f>
        <v/>
      </c>
      <c r="R23" s="33"/>
    </row>
    <row r="24" ht="26.25" customHeight="1">
      <c r="A24" s="15"/>
      <c r="B24" s="38" t="str">
        <f>image("https://i.imgur.com/lpOVjtL.png")</f>
        <v/>
      </c>
      <c r="C24" s="36"/>
      <c r="D24" s="35" t="str">
        <f>image("https://i.imgur.com/lpOVjtL.png")</f>
        <v/>
      </c>
      <c r="E24" s="36"/>
      <c r="F24" s="35" t="str">
        <f>image("https://i.imgur.com/ef1o2lD.png")</f>
        <v/>
      </c>
      <c r="G24" s="36"/>
      <c r="H24" s="37" t="str">
        <f>image("https://i.imgur.com/ef1o2lD.png")</f>
        <v/>
      </c>
      <c r="I24" s="36"/>
      <c r="J24" s="38" t="str">
        <f>image("https://i.imgur.com/0ArMZjJ.png")</f>
        <v/>
      </c>
      <c r="K24" s="36"/>
      <c r="L24" s="35" t="str">
        <f>image("https://i.imgur.com/zpybKax.png")</f>
        <v/>
      </c>
      <c r="M24" s="36"/>
      <c r="N24" s="38" t="str">
        <f>image("https://i.imgur.com/0ArMZjJ.png")</f>
        <v/>
      </c>
      <c r="O24" s="36"/>
      <c r="P24" s="38" t="str">
        <f>image("https://i.imgur.com/0ArMZjJ.png")</f>
        <v/>
      </c>
      <c r="Q24" s="36"/>
      <c r="R24" s="33"/>
    </row>
    <row r="25" ht="26.25" customHeight="1">
      <c r="A25" s="15"/>
      <c r="B25" s="40"/>
      <c r="C25" s="41"/>
      <c r="D25" s="40"/>
      <c r="E25" s="41"/>
      <c r="F25" s="40"/>
      <c r="G25" s="41"/>
      <c r="H25" s="40"/>
      <c r="I25" s="41"/>
      <c r="J25" s="40"/>
      <c r="K25" s="41"/>
      <c r="L25" s="43"/>
      <c r="M25" s="41"/>
      <c r="N25" s="40"/>
      <c r="O25" s="41"/>
      <c r="P25" s="40"/>
      <c r="Q25" s="41"/>
      <c r="R25" s="33"/>
    </row>
    <row r="26" ht="26.25" customHeight="1">
      <c r="A26" s="15"/>
      <c r="B26" s="16" t="str">
        <f>image("https://i.imgur.com/XIu6jDl.png")</f>
        <v/>
      </c>
      <c r="C26" s="20" t="str">
        <f>image("https://pokejungle.net/sprites/shiny/"&amp;B22&amp;".png")</f>
        <v/>
      </c>
      <c r="D26" s="16" t="str">
        <f>image("https://i.imgur.com/XIu6jDl.png")</f>
        <v/>
      </c>
      <c r="E26" s="20" t="str">
        <f>image("https://pokejungle.net/sprites/shiny/"&amp;D22&amp;".png")</f>
        <v/>
      </c>
      <c r="F26" s="16" t="str">
        <f>image("https://i.imgur.com/VQL4lPa.png")</f>
        <v/>
      </c>
      <c r="G26" s="20" t="str">
        <f>image("https://pokejungle.net/sprites/shiny/"&amp;F22&amp;".png")</f>
        <v/>
      </c>
      <c r="H26" s="16" t="str">
        <f>image("https://i.imgur.com/VQL4lPa.png")</f>
        <v/>
      </c>
      <c r="I26" s="20" t="str">
        <f>image("https://pokejungle.net/sprites/shiny/"&amp;H22&amp;".png")</f>
        <v/>
      </c>
      <c r="J26" s="16" t="str">
        <f>image("https://i.imgur.com/VQL4lPa.png")</f>
        <v/>
      </c>
      <c r="K26" s="20" t="str">
        <f>image("https://pokejungle.net/sprites/shiny/"&amp;J22&amp;".png")</f>
        <v/>
      </c>
      <c r="L26" s="16" t="str">
        <f>image("https://i.imgur.com/VQL4lPa.png")</f>
        <v/>
      </c>
      <c r="M26" s="20" t="str">
        <f>image("https://pokejungle.net/sprites/shiny/"&amp;L22&amp;".png")</f>
        <v/>
      </c>
      <c r="N26" s="16" t="str">
        <f>image("https://i.imgur.com/SF5CZ6U.png")</f>
        <v/>
      </c>
      <c r="O26" s="20" t="str">
        <f>image("https://pokejungle.net/sprites/shiny/"&amp;N22&amp;".png")</f>
        <v/>
      </c>
      <c r="P26" s="16" t="str">
        <f>image("https://i.imgur.com/SF5CZ6U.png")</f>
        <v/>
      </c>
      <c r="Q26" s="20" t="str">
        <f>image("https://pokejungle.net/sprites/shiny/"&amp;P22&amp;".png")</f>
        <v/>
      </c>
      <c r="R26" s="33"/>
    </row>
    <row r="27" ht="26.25" customHeight="1">
      <c r="A27" s="15"/>
      <c r="B27" s="46" t="str">
        <f>image("https://i.imgur.com/lpOVjtL.png")</f>
        <v/>
      </c>
      <c r="C27" s="36"/>
      <c r="D27" s="46" t="str">
        <f>image("https://i.imgur.com/lpOVjtL.png")</f>
        <v/>
      </c>
      <c r="E27" s="36"/>
      <c r="F27" s="38" t="str">
        <f>image("https://i.imgur.com/N2Wqr43.png")</f>
        <v/>
      </c>
      <c r="G27" s="36"/>
      <c r="H27" s="38" t="str">
        <f>image("https://i.imgur.com/N2Wqr43.png")</f>
        <v/>
      </c>
      <c r="I27" s="36"/>
      <c r="J27" s="38" t="str">
        <f>image("https://i.imgur.com/0ArMZjJ.png")</f>
        <v/>
      </c>
      <c r="K27" s="36"/>
      <c r="L27" s="46" t="str">
        <f>image("https://i.imgur.com/XIu6jDl.png")</f>
        <v/>
      </c>
      <c r="M27" s="36"/>
      <c r="N27" s="37" t="str">
        <f>image("https://i.imgur.com/ef1o2lD.png")</f>
        <v/>
      </c>
      <c r="O27" s="36"/>
      <c r="P27" s="37" t="str">
        <f>image("https://i.imgur.com/ef1o2lD.png")</f>
        <v/>
      </c>
      <c r="Q27" s="36"/>
      <c r="R27" s="33"/>
    </row>
    <row r="28" ht="26.25" customHeight="1">
      <c r="A28" s="15"/>
      <c r="B28" s="43" t="str">
        <f>image("https://i.imgur.com/VQL4lPa.png")</f>
        <v/>
      </c>
      <c r="C28" s="41"/>
      <c r="D28" s="43" t="str">
        <f>image("https://i.imgur.com/VQL4lPa.png")</f>
        <v/>
      </c>
      <c r="E28" s="41"/>
      <c r="F28" s="40" t="str">
        <f>image("https://i.imgur.com/ef1o2lD.png")</f>
        <v/>
      </c>
      <c r="G28" s="41"/>
      <c r="H28" s="43" t="str">
        <f>image("https://i.imgur.com/ef1o2lD.png")</f>
        <v/>
      </c>
      <c r="I28" s="41"/>
      <c r="J28" s="40" t="str">
        <f>image("https://i.imgur.com/XIu6jDl.png")</f>
        <v/>
      </c>
      <c r="K28" s="41"/>
      <c r="L28" s="43"/>
      <c r="M28" s="41"/>
      <c r="N28" s="40" t="str">
        <f>image("https://i.imgur.com/0ArMZjJ.png")</f>
        <v/>
      </c>
      <c r="O28" s="41"/>
      <c r="P28" s="40" t="str">
        <f>image("https://i.imgur.com/0ArMZjJ.png")</f>
        <v/>
      </c>
      <c r="Q28" s="41"/>
      <c r="R28" s="33"/>
    </row>
    <row r="29" ht="18.75" customHeight="1">
      <c r="A29" s="6"/>
      <c r="B29" s="8" t="s">
        <v>241</v>
      </c>
      <c r="C29" s="10" t="s">
        <v>242</v>
      </c>
      <c r="D29" s="8" t="s">
        <v>243</v>
      </c>
      <c r="E29" s="10" t="s">
        <v>244</v>
      </c>
      <c r="F29" s="8" t="s">
        <v>245</v>
      </c>
      <c r="G29" s="10" t="s">
        <v>246</v>
      </c>
      <c r="H29" s="8" t="s">
        <v>247</v>
      </c>
      <c r="I29" s="10" t="s">
        <v>248</v>
      </c>
      <c r="J29" s="8" t="s">
        <v>249</v>
      </c>
      <c r="K29" s="10" t="s">
        <v>250</v>
      </c>
      <c r="L29" s="8" t="s">
        <v>251</v>
      </c>
      <c r="M29" s="10" t="s">
        <v>252</v>
      </c>
      <c r="N29" s="8" t="s">
        <v>253</v>
      </c>
      <c r="O29" s="10" t="s">
        <v>254</v>
      </c>
      <c r="P29" s="8" t="s">
        <v>255</v>
      </c>
      <c r="Q29" s="10" t="s">
        <v>256</v>
      </c>
      <c r="R29" s="14"/>
    </row>
    <row r="30" ht="26.25" customHeight="1">
      <c r="A30" s="15"/>
      <c r="B30" s="16" t="str">
        <f>image("https://i.imgur.com/VQL4lPa.png")</f>
        <v/>
      </c>
      <c r="C30" s="20" t="str">
        <f>image("https://pokejungle.net/sprites/normal/"&amp;B29&amp;".png")</f>
        <v/>
      </c>
      <c r="D30" s="16" t="str">
        <f>image("https://i.imgur.com/zpybKax.png")</f>
        <v/>
      </c>
      <c r="E30" s="20" t="str">
        <f>image("https://pokejungle.net/sprites/normal/"&amp;D29&amp;".png")</f>
        <v/>
      </c>
      <c r="F30" s="16" t="str">
        <f>image("https://i.imgur.com/JOd7Boe.png")</f>
        <v/>
      </c>
      <c r="G30" s="20" t="str">
        <f>image("https://pokejungle.net/sprites/normal/"&amp;F29&amp;".png")</f>
        <v/>
      </c>
      <c r="H30" s="24" t="str">
        <f>image("https://i.imgur.com/XIu6jDl.png")</f>
        <v/>
      </c>
      <c r="I30" s="20" t="str">
        <f>image("https://pokejungle.net/sprites/normal/"&amp;H29&amp;".png")</f>
        <v/>
      </c>
      <c r="J30" s="16" t="str">
        <f>image("https://i.imgur.com/XIu6jDl.png")</f>
        <v/>
      </c>
      <c r="K30" s="20" t="str">
        <f>image("https://pokejungle.net/sprites/normal/"&amp;J29&amp;".png")</f>
        <v/>
      </c>
      <c r="L30" s="28" t="str">
        <f>image("https://i.imgur.com/lpOVjtL.png")</f>
        <v/>
      </c>
      <c r="M30" s="20" t="str">
        <f>image("https://pokejungle.net/sprites/normal/"&amp;L29&amp;".png")</f>
        <v/>
      </c>
      <c r="N30" s="16" t="str">
        <f>image("https://i.imgur.com/JOd7Boe.png")</f>
        <v/>
      </c>
      <c r="O30" s="20" t="str">
        <f>image("https://pokejungle.net/sprites/normal/"&amp;N29&amp;".png")</f>
        <v/>
      </c>
      <c r="P30" s="28" t="str">
        <f>image("https://i.imgur.com/lpOVjtL.png")</f>
        <v/>
      </c>
      <c r="Q30" s="20" t="str">
        <f>image("https://pokejungle.net/sprites/normal/"&amp;P29&amp;".png")</f>
        <v/>
      </c>
      <c r="R30" s="33"/>
    </row>
    <row r="31" ht="26.25" customHeight="1">
      <c r="A31" s="15"/>
      <c r="B31" s="38" t="str">
        <f>image("https://i.imgur.com/0ArMZjJ.png")</f>
        <v/>
      </c>
      <c r="C31" s="36"/>
      <c r="D31" s="35" t="str">
        <f>image("https://i.imgur.com/JDgAgAO.png")</f>
        <v/>
      </c>
      <c r="E31" s="36"/>
      <c r="F31" s="35" t="str">
        <f>image("https://i.imgur.com/rAI9Gyi.png")</f>
        <v/>
      </c>
      <c r="G31" s="36"/>
      <c r="H31" s="37" t="str">
        <f>image("https://i.imgur.com/lpOVjtL.png")</f>
        <v/>
      </c>
      <c r="I31" s="36"/>
      <c r="J31" s="38" t="str">
        <f>image("https://i.imgur.com/VQL4lPa.png")</f>
        <v/>
      </c>
      <c r="K31" s="36"/>
      <c r="L31" s="46" t="str">
        <f>image("https://i.imgur.com/XIu6jDl.png")</f>
        <v/>
      </c>
      <c r="M31" s="36"/>
      <c r="N31" s="38" t="str">
        <f>image("https://i.imgur.com/0ArMZjJ.png")</f>
        <v/>
      </c>
      <c r="O31" s="36"/>
      <c r="P31" s="46" t="str">
        <f>image("https://i.imgur.com/XIu6jDl.png")</f>
        <v/>
      </c>
      <c r="Q31" s="36"/>
      <c r="R31" s="33"/>
    </row>
    <row r="32" ht="26.25" customHeight="1">
      <c r="A32" s="15"/>
      <c r="B32" s="40"/>
      <c r="C32" s="41"/>
      <c r="D32" s="40"/>
      <c r="E32" s="41"/>
      <c r="F32" s="40" t="str">
        <f>image("https://i.imgur.com/GyNf8BH.png")</f>
        <v/>
      </c>
      <c r="G32" s="41"/>
      <c r="H32" s="40"/>
      <c r="I32" s="41"/>
      <c r="J32" s="40" t="str">
        <f>image("https://i.imgur.com/lpOVjtL.png")</f>
        <v/>
      </c>
      <c r="K32" s="41"/>
      <c r="L32" s="43"/>
      <c r="M32" s="41"/>
      <c r="N32" s="40" t="str">
        <f>image("https://i.imgur.com/GyNf8BH.png")</f>
        <v/>
      </c>
      <c r="O32" s="41"/>
      <c r="P32" s="40"/>
      <c r="Q32" s="41"/>
      <c r="R32" s="33"/>
    </row>
    <row r="33" ht="26.25" customHeight="1">
      <c r="A33" s="15"/>
      <c r="B33" s="16" t="str">
        <f>image("https://i.imgur.com/SF5CZ6U.png")</f>
        <v/>
      </c>
      <c r="C33" s="20" t="str">
        <f>image("https://pokejungle.net/sprites/shiny/"&amp;B29&amp;".png")</f>
        <v/>
      </c>
      <c r="D33" s="16" t="str">
        <f>image("https://i.imgur.com/beHgI95.png")</f>
        <v/>
      </c>
      <c r="E33" s="20" t="str">
        <f>image("https://pokejungle.net/sprites/shiny/"&amp;D29&amp;".png")</f>
        <v/>
      </c>
      <c r="F33" s="16" t="str">
        <f>image("https://i.imgur.com/VQL4lPa.png")</f>
        <v/>
      </c>
      <c r="G33" s="20" t="str">
        <f>image("https://pokejungle.net/sprites/shiny/"&amp;F29&amp;".png")</f>
        <v/>
      </c>
      <c r="H33" s="16" t="str">
        <f>image("https://i.imgur.com/lKAfx6k.png")</f>
        <v/>
      </c>
      <c r="I33" s="20" t="str">
        <f>image("https://pokejungle.net/sprites/shiny/"&amp;H29&amp;".png")</f>
        <v/>
      </c>
      <c r="J33" s="16" t="str">
        <f>image("https://i.imgur.com/lKAfx6k.png")</f>
        <v/>
      </c>
      <c r="K33" s="20" t="str">
        <f>image("https://pokejungle.net/sprites/shiny/"&amp;J29&amp;".png")</f>
        <v/>
      </c>
      <c r="L33" s="16" t="str">
        <f>image("https://i.imgur.com/XI18XGu.png")</f>
        <v/>
      </c>
      <c r="M33" s="20" t="str">
        <f>image("https://pokejungle.net/sprites/shiny/"&amp;L29&amp;".png")</f>
        <v/>
      </c>
      <c r="N33" s="16" t="str">
        <f>image("https://i.imgur.com/JOd7Boe.png")</f>
        <v/>
      </c>
      <c r="O33" s="20" t="str">
        <f>image("https://pokejungle.net/sprites/shiny/"&amp;N29&amp;".png")</f>
        <v/>
      </c>
      <c r="P33" s="28" t="str">
        <f>image("https://i.imgur.com/lpOVjtL.png")</f>
        <v/>
      </c>
      <c r="Q33" s="20" t="str">
        <f>image("https://pokejungle.net/sprites/shiny/"&amp;P29&amp;".png")</f>
        <v/>
      </c>
      <c r="R33" s="33"/>
    </row>
    <row r="34" ht="26.25" customHeight="1">
      <c r="A34" s="15"/>
      <c r="B34" s="37" t="str">
        <f>image("https://i.imgur.com/ef1o2lD.png")</f>
        <v/>
      </c>
      <c r="C34" s="36"/>
      <c r="D34" s="46" t="str">
        <f>image("https://i.imgur.com/JDgAgAO.png")</f>
        <v/>
      </c>
      <c r="E34" s="36"/>
      <c r="F34" s="38" t="str">
        <f>image("https://i.imgur.com/N2Wqr43.png")</f>
        <v/>
      </c>
      <c r="G34" s="36"/>
      <c r="H34" s="46" t="str">
        <f>image("https://i.imgur.com/bxys1sd.png")</f>
        <v/>
      </c>
      <c r="I34" s="36"/>
      <c r="J34" s="38" t="str">
        <f>image("https://i.imgur.com/bxys1sd.png")</f>
        <v/>
      </c>
      <c r="K34" s="36"/>
      <c r="L34" s="46" t="str">
        <f>image("https://i.imgur.com/a9HBljD.png")</f>
        <v/>
      </c>
      <c r="M34" s="36"/>
      <c r="N34" s="38" t="str">
        <f>image("https://i.imgur.com/0ArMZjJ.png")</f>
        <v/>
      </c>
      <c r="O34" s="36"/>
      <c r="P34" s="46" t="str">
        <f>image("https://i.imgur.com/XIu6jDl.png")</f>
        <v/>
      </c>
      <c r="Q34" s="36"/>
      <c r="R34" s="33"/>
    </row>
    <row r="35" ht="26.25" customHeight="1">
      <c r="A35" s="15"/>
      <c r="B35" s="40" t="str">
        <f>image("https://i.imgur.com/0ArMZjJ.png")</f>
        <v/>
      </c>
      <c r="C35" s="41"/>
      <c r="D35" s="43"/>
      <c r="E35" s="41"/>
      <c r="F35" s="40"/>
      <c r="G35" s="41"/>
      <c r="H35" s="40" t="str">
        <f>image("https://i.imgur.com/GyNf8BH.png")</f>
        <v/>
      </c>
      <c r="I35" s="41"/>
      <c r="J35" s="40" t="str">
        <f>image("https://i.imgur.com/GyNf8BH.png")</f>
        <v/>
      </c>
      <c r="K35" s="41"/>
      <c r="L35" s="43" t="str">
        <f>image("https://i.imgur.com/rAI9Gyi.png")</f>
        <v/>
      </c>
      <c r="M35" s="41"/>
      <c r="N35" s="40" t="str">
        <f>image("https://i.imgur.com/lKAfx6k.png")</f>
        <v/>
      </c>
      <c r="O35" s="41"/>
      <c r="P35" s="40"/>
      <c r="Q35" s="41"/>
      <c r="R35" s="33"/>
    </row>
    <row r="36" ht="18.75" customHeight="1">
      <c r="A36" s="6"/>
      <c r="B36" s="8" t="s">
        <v>286</v>
      </c>
      <c r="C36" s="10" t="s">
        <v>287</v>
      </c>
      <c r="D36" s="8" t="s">
        <v>288</v>
      </c>
      <c r="E36" s="10" t="s">
        <v>289</v>
      </c>
      <c r="F36" s="8" t="s">
        <v>290</v>
      </c>
      <c r="G36" s="10" t="s">
        <v>291</v>
      </c>
      <c r="H36" s="8" t="s">
        <v>292</v>
      </c>
      <c r="I36" s="10" t="s">
        <v>293</v>
      </c>
      <c r="J36" s="8" t="s">
        <v>294</v>
      </c>
      <c r="K36" s="10" t="s">
        <v>295</v>
      </c>
      <c r="L36" s="8" t="s">
        <v>296</v>
      </c>
      <c r="M36" s="10" t="s">
        <v>297</v>
      </c>
      <c r="N36" s="8" t="s">
        <v>298</v>
      </c>
      <c r="O36" s="10" t="s">
        <v>299</v>
      </c>
      <c r="P36" s="8" t="s">
        <v>300</v>
      </c>
      <c r="Q36" s="10" t="s">
        <v>301</v>
      </c>
      <c r="R36" s="14"/>
    </row>
    <row r="37" ht="26.25" customHeight="1">
      <c r="A37" s="15"/>
      <c r="B37" s="16" t="str">
        <f>image("https://i.imgur.com/XIu6jDl.png")</f>
        <v/>
      </c>
      <c r="C37" s="20" t="str">
        <f>image("https://pokejungle.net/sprites/normal/"&amp;B36&amp;".png")</f>
        <v/>
      </c>
      <c r="D37" s="16" t="str">
        <f>image("https://i.imgur.com/rJhTvoD.png")</f>
        <v/>
      </c>
      <c r="E37" s="20" t="str">
        <f>image("https://pokejungle.net/sprites/normal/"&amp;D36&amp;".png")</f>
        <v/>
      </c>
      <c r="F37" s="16" t="str">
        <f>image("https://i.imgur.com/XIu6jDl.png")</f>
        <v/>
      </c>
      <c r="G37" s="20" t="str">
        <f>image("https://pokejungle.net/sprites/normal/"&amp;F36&amp;".png")</f>
        <v/>
      </c>
      <c r="H37" s="24" t="str">
        <f>image("https://i.imgur.com/rAI9Gyi.png")</f>
        <v/>
      </c>
      <c r="I37" s="20" t="str">
        <f>image("https://pokejungle.net/sprites/normal/"&amp;H36&amp;".png")</f>
        <v/>
      </c>
      <c r="J37" s="16" t="str">
        <f>image("https://i.imgur.com/rAI9Gyi.png")</f>
        <v/>
      </c>
      <c r="K37" s="20" t="str">
        <f>image("https://pokejungle.net/sprites/normal/"&amp;J36&amp;".png")</f>
        <v/>
      </c>
      <c r="L37" s="28" t="str">
        <f>image("https://i.imgur.com/rAI9Gyi.png")</f>
        <v/>
      </c>
      <c r="M37" s="20" t="str">
        <f>image("https://pokejungle.net/sprites/normal/"&amp;L36&amp;".png")</f>
        <v/>
      </c>
      <c r="N37" s="16" t="str">
        <f>image("https://i.imgur.com/rJhTvoD.png")</f>
        <v/>
      </c>
      <c r="O37" s="20" t="str">
        <f>image("https://pokejungle.net/sprites/normal/"&amp;N36&amp;".png")</f>
        <v/>
      </c>
      <c r="P37" s="16" t="str">
        <f>image("https://i.imgur.com/RqSOGo6.png")</f>
        <v/>
      </c>
      <c r="Q37" s="20" t="str">
        <f>image("https://pokejungle.net/sprites/normal/"&amp;P36&amp;".png")</f>
        <v/>
      </c>
      <c r="R37" s="33"/>
    </row>
    <row r="38" ht="26.25" customHeight="1">
      <c r="A38" s="15"/>
      <c r="B38" s="38" t="str">
        <f>image("https://i.imgur.com/0ArMZjJ.png")</f>
        <v/>
      </c>
      <c r="C38" s="36"/>
      <c r="D38" s="46" t="str">
        <f>image("https://i.imgur.com/beHgI95.png")</f>
        <v/>
      </c>
      <c r="E38" s="36"/>
      <c r="F38" s="35" t="str">
        <f>image("https://i.imgur.com/lpOVjtL.png")</f>
        <v/>
      </c>
      <c r="G38" s="36"/>
      <c r="H38" s="46" t="str">
        <f>image("https://i.imgur.com/rJhTvoD.png")</f>
        <v/>
      </c>
      <c r="I38" s="36"/>
      <c r="J38" s="38" t="str">
        <f>image("https://i.imgur.com/XI18XGu.png")</f>
        <v/>
      </c>
      <c r="K38" s="36"/>
      <c r="L38" s="38" t="str">
        <f>image("https://i.imgur.com/XI18XGu.png")</f>
        <v/>
      </c>
      <c r="M38" s="36"/>
      <c r="N38" s="46" t="str">
        <f>image("https://i.imgur.com/beHgI95.png")</f>
        <v/>
      </c>
      <c r="O38" s="36"/>
      <c r="P38" s="46" t="str">
        <f>image("https://i.imgur.com/rJhTvoD.png")</f>
        <v/>
      </c>
      <c r="Q38" s="36"/>
      <c r="R38" s="33"/>
    </row>
    <row r="39" ht="26.25" customHeight="1">
      <c r="A39" s="15"/>
      <c r="B39" s="40"/>
      <c r="C39" s="41"/>
      <c r="D39" s="40" t="str">
        <f>image("https://i.imgur.com/EkqYYOB.png")</f>
        <v/>
      </c>
      <c r="E39" s="41"/>
      <c r="F39" s="40" t="str">
        <f>image("https://i.imgur.com/beHgI95.png")</f>
        <v/>
      </c>
      <c r="G39" s="41"/>
      <c r="H39" s="40"/>
      <c r="I39" s="41"/>
      <c r="J39" s="40" t="str">
        <f>image("https://i.imgur.com/rJhTvoD.png")</f>
        <v/>
      </c>
      <c r="K39" s="41"/>
      <c r="L39" s="40" t="str">
        <f>image("https://i.imgur.com/rJhTvoD.png")</f>
        <v/>
      </c>
      <c r="M39" s="41"/>
      <c r="N39" s="40"/>
      <c r="O39" s="41"/>
      <c r="P39" s="40" t="str">
        <f>image("https://i.imgur.com/beHgI95.png")</f>
        <v/>
      </c>
      <c r="Q39" s="41"/>
      <c r="R39" s="33"/>
    </row>
    <row r="40" ht="26.25" customHeight="1">
      <c r="A40" s="15"/>
      <c r="B40" s="16" t="str">
        <f>image("https://i.imgur.com/beHgI95.png")</f>
        <v/>
      </c>
      <c r="C40" s="20" t="str">
        <f>image("https://pokejungle.net/sprites/shiny/"&amp;B36&amp;".png")</f>
        <v/>
      </c>
      <c r="D40" s="16" t="str">
        <f>image("https://i.imgur.com/rJhTvoD.png")</f>
        <v/>
      </c>
      <c r="E40" s="20" t="str">
        <f>image("https://pokejungle.net/sprites/shiny/"&amp;D36&amp;".png")</f>
        <v/>
      </c>
      <c r="F40" s="16" t="str">
        <f>image("https://i.imgur.com/XIu6jDl.png")</f>
        <v/>
      </c>
      <c r="G40" s="20" t="str">
        <f>image("https://pokejungle.net/sprites/shiny/"&amp;F36&amp;".png")</f>
        <v/>
      </c>
      <c r="H40" s="16" t="str">
        <f>image("https://i.imgur.com/N2Wqr43.png")</f>
        <v/>
      </c>
      <c r="I40" s="20" t="str">
        <f>image("https://pokejungle.net/sprites/shiny/"&amp;H36&amp;".png")</f>
        <v/>
      </c>
      <c r="J40" s="16" t="str">
        <f>image("https://i.imgur.com/rAI9Gyi.png")</f>
        <v/>
      </c>
      <c r="K40" s="20" t="str">
        <f>image("https://pokejungle.net/sprites/shiny/"&amp;J36&amp;".png")</f>
        <v/>
      </c>
      <c r="L40" s="16" t="str">
        <f>image("https://i.imgur.com/rAI9Gyi.png")</f>
        <v/>
      </c>
      <c r="M40" s="20" t="str">
        <f>image("https://pokejungle.net/sprites/shiny/"&amp;L36&amp;".png")</f>
        <v/>
      </c>
      <c r="N40" s="16" t="str">
        <f>image("https://i.imgur.com/lKAfx6k.png")</f>
        <v/>
      </c>
      <c r="O40" s="20" t="str">
        <f>image("https://pokejungle.net/sprites/shiny/"&amp;N36&amp;".png")</f>
        <v/>
      </c>
      <c r="P40" s="16" t="str">
        <f>image("https://i.imgur.com/XI18XGu.png")</f>
        <v/>
      </c>
      <c r="Q40" s="20" t="str">
        <f>image("https://pokejungle.net/sprites/shiny/"&amp;P36&amp;".png")</f>
        <v/>
      </c>
      <c r="R40" s="33"/>
    </row>
    <row r="41" ht="26.25" customHeight="1">
      <c r="A41" s="15"/>
      <c r="B41" s="46" t="str">
        <f>image("https://i.imgur.com/rJhTvoD.png")</f>
        <v/>
      </c>
      <c r="C41" s="36"/>
      <c r="D41" s="46" t="str">
        <f>image("https://i.imgur.com/beHgI95.png")</f>
        <v/>
      </c>
      <c r="E41" s="36"/>
      <c r="F41" s="35" t="str">
        <f>image("https://i.imgur.com/lpOVjtL.png")</f>
        <v/>
      </c>
      <c r="G41" s="36"/>
      <c r="H41" s="46" t="str">
        <f>image("https://i.imgur.com/VQL4lPa.png")</f>
        <v/>
      </c>
      <c r="I41" s="36"/>
      <c r="J41" s="38" t="str">
        <f>image("https://i.imgur.com/XI18XGu.png")</f>
        <v/>
      </c>
      <c r="K41" s="36"/>
      <c r="L41" s="46" t="str">
        <f>image("https://i.imgur.com/XI18XGu.png")</f>
        <v/>
      </c>
      <c r="M41" s="36"/>
      <c r="N41" s="38" t="str">
        <f>image("https://i.imgur.com/rJhTvoD.png")</f>
        <v/>
      </c>
      <c r="O41" s="36"/>
      <c r="P41" s="46" t="str">
        <f>image("https://i.imgur.com/rAI9Gyi.png")</f>
        <v/>
      </c>
      <c r="Q41" s="36"/>
      <c r="R41" s="33"/>
    </row>
    <row r="42" ht="26.25" customHeight="1">
      <c r="A42" s="15"/>
      <c r="B42" s="40" t="str">
        <f>image("https://i.imgur.com/EkqYYOB.png")</f>
        <v/>
      </c>
      <c r="C42" s="41"/>
      <c r="D42" s="40" t="str">
        <f>image("https://i.imgur.com/EkqYYOB.png")</f>
        <v/>
      </c>
      <c r="E42" s="41"/>
      <c r="F42" s="40" t="str">
        <f>image("https://i.imgur.com/beHgI95.png")</f>
        <v/>
      </c>
      <c r="G42" s="41"/>
      <c r="H42" s="43" t="str">
        <f>image("https://i.imgur.com/rAI9Gyi.png")</f>
        <v/>
      </c>
      <c r="I42" s="41"/>
      <c r="J42" s="40" t="str">
        <f>image("https://i.imgur.com/nNTmuH8.png")</f>
        <v/>
      </c>
      <c r="K42" s="41"/>
      <c r="L42" s="40" t="str">
        <f>image("https://i.imgur.com/nNTmuH8.png")</f>
        <v/>
      </c>
      <c r="M42" s="41"/>
      <c r="N42" s="40" t="str">
        <f>image("https://i.imgur.com/RqSOGo6.png")</f>
        <v/>
      </c>
      <c r="O42" s="41"/>
      <c r="P42" s="40" t="str">
        <f>image("https://i.imgur.com/nNTmuH8.png")</f>
        <v/>
      </c>
      <c r="Q42" s="41"/>
      <c r="R42" s="33"/>
    </row>
    <row r="43" ht="18.75" customHeight="1">
      <c r="A43" s="6"/>
      <c r="B43" s="8" t="s">
        <v>332</v>
      </c>
      <c r="C43" s="10" t="s">
        <v>333</v>
      </c>
      <c r="D43" s="8" t="s">
        <v>334</v>
      </c>
      <c r="E43" s="10" t="s">
        <v>335</v>
      </c>
      <c r="F43" s="8" t="s">
        <v>336</v>
      </c>
      <c r="G43" s="10" t="s">
        <v>337</v>
      </c>
      <c r="H43" s="8" t="s">
        <v>338</v>
      </c>
      <c r="I43" s="10" t="s">
        <v>339</v>
      </c>
      <c r="J43" s="8" t="s">
        <v>340</v>
      </c>
      <c r="K43" s="10" t="s">
        <v>341</v>
      </c>
      <c r="L43" s="8" t="s">
        <v>342</v>
      </c>
      <c r="M43" s="10" t="s">
        <v>343</v>
      </c>
      <c r="N43" s="8" t="s">
        <v>344</v>
      </c>
      <c r="O43" s="10" t="s">
        <v>345</v>
      </c>
      <c r="P43" s="8" t="s">
        <v>346</v>
      </c>
      <c r="Q43" s="10" t="s">
        <v>347</v>
      </c>
      <c r="R43" s="14"/>
    </row>
    <row r="44" ht="26.25" customHeight="1">
      <c r="A44" s="15"/>
      <c r="B44" s="16" t="str">
        <f>image("https://i.imgur.com/SF5CZ6U.png")</f>
        <v/>
      </c>
      <c r="C44" s="20" t="str">
        <f>image("https://pokejungle.net/sprites/normal/"&amp;B43&amp;".png")</f>
        <v/>
      </c>
      <c r="D44" s="16" t="str">
        <f>image("https://i.imgur.com/SF5CZ6U.png")</f>
        <v/>
      </c>
      <c r="E44" s="20" t="str">
        <f>image("https://pokejungle.net/sprites/normal/"&amp;D43&amp;".png")</f>
        <v/>
      </c>
      <c r="F44" s="16" t="str">
        <f>image("https://i.imgur.com/rAI9Gyi.png")</f>
        <v/>
      </c>
      <c r="G44" s="20" t="str">
        <f>image("https://pokejungle.net/sprites/normal/"&amp;F43&amp;".png")</f>
        <v/>
      </c>
      <c r="H44" s="24" t="str">
        <f>image("https://i.imgur.com/rAI9Gyi.png")</f>
        <v/>
      </c>
      <c r="I44" s="20" t="str">
        <f>image("https://pokejungle.net/sprites/normal/"&amp;H43&amp;".png")</f>
        <v/>
      </c>
      <c r="J44" s="16" t="str">
        <f>image("https://i.imgur.com/N2Wqr43.png")</f>
        <v/>
      </c>
      <c r="K44" s="20" t="str">
        <f>image("https://pokejungle.net/sprites/normal/"&amp;J43&amp;".png")</f>
        <v/>
      </c>
      <c r="L44" s="28" t="str">
        <f>image("https://i.imgur.com/beHgI95.png")</f>
        <v/>
      </c>
      <c r="M44" s="20" t="str">
        <f>image("https://pokejungle.net/sprites/normal/"&amp;L43&amp;".png")</f>
        <v/>
      </c>
      <c r="N44" s="16" t="str">
        <f>image("https://i.imgur.com/NkILW1J.png")</f>
        <v/>
      </c>
      <c r="O44" s="20" t="str">
        <f>image("https://pokejungle.net/sprites/normal/"&amp;N43&amp;".png")</f>
        <v/>
      </c>
      <c r="P44" s="16" t="str">
        <f>image("https://i.imgur.com/NkILW1J.png")</f>
        <v/>
      </c>
      <c r="Q44" s="20" t="str">
        <f>image("https://pokejungle.net/sprites/normal/"&amp;P43&amp;".png")</f>
        <v/>
      </c>
      <c r="R44" s="33"/>
    </row>
    <row r="45" ht="26.25" customHeight="1">
      <c r="A45" s="15"/>
      <c r="B45" s="35" t="str">
        <f>image("https://i.imgur.com/XNzvO0H.png")</f>
        <v/>
      </c>
      <c r="C45" s="36"/>
      <c r="D45" s="35" t="str">
        <f>image("https://i.imgur.com/ef1o2lD.png")</f>
        <v/>
      </c>
      <c r="E45" s="36"/>
      <c r="F45" s="35" t="str">
        <f>image("https://i.imgur.com/a9HBljD.png")</f>
        <v/>
      </c>
      <c r="G45" s="36"/>
      <c r="H45" s="37" t="str">
        <f>image("https://i.imgur.com/a9HBljD.png")</f>
        <v/>
      </c>
      <c r="I45" s="36"/>
      <c r="J45" s="38" t="str">
        <f>image("https://i.imgur.com/nNTmuH8.png")</f>
        <v/>
      </c>
      <c r="K45" s="36"/>
      <c r="L45" s="46" t="str">
        <f>image("https://i.imgur.com/rJhTvoD.png")</f>
        <v/>
      </c>
      <c r="M45" s="36"/>
      <c r="N45" s="38" t="str">
        <f>image("https://i.imgur.com/JOd7Boe.png")</f>
        <v/>
      </c>
      <c r="O45" s="36"/>
      <c r="P45" s="38" t="str">
        <f>image("https://i.imgur.com/JOd7Boe.png")</f>
        <v/>
      </c>
      <c r="Q45" s="36"/>
      <c r="R45" s="33"/>
    </row>
    <row r="46" ht="26.25" customHeight="1">
      <c r="A46" s="15"/>
      <c r="B46" s="40" t="str">
        <f>image("https://i.imgur.com/XzidFHI.png")</f>
        <v/>
      </c>
      <c r="C46" s="41"/>
      <c r="D46" s="40" t="str">
        <f>image("https://i.imgur.com/XzidFHI.png")</f>
        <v/>
      </c>
      <c r="E46" s="41"/>
      <c r="F46" s="40"/>
      <c r="G46" s="41"/>
      <c r="H46" s="40"/>
      <c r="I46" s="41"/>
      <c r="J46" s="40" t="str">
        <f>image("https://i.imgur.com/XI18XGu.png")</f>
        <v/>
      </c>
      <c r="K46" s="41"/>
      <c r="L46" s="40" t="str">
        <f>image("https://i.imgur.com/EkqYYOB.png")</f>
        <v/>
      </c>
      <c r="M46" s="41"/>
      <c r="N46" s="40"/>
      <c r="O46" s="41"/>
      <c r="P46" s="40"/>
      <c r="Q46" s="41"/>
      <c r="R46" s="33"/>
    </row>
    <row r="47" ht="26.25" customHeight="1">
      <c r="A47" s="15"/>
      <c r="B47" s="16" t="str">
        <f>image("https://i.imgur.com/VQL4lPa.png")</f>
        <v/>
      </c>
      <c r="C47" s="20" t="str">
        <f>image("https://pokejungle.net/sprites/shiny/"&amp;B43&amp;".png")</f>
        <v/>
      </c>
      <c r="D47" s="16" t="str">
        <f>image("https://i.imgur.com/rJhTvoD.png")</f>
        <v/>
      </c>
      <c r="E47" s="20" t="str">
        <f>image("https://pokejungle.net/sprites/shiny/"&amp;D43&amp;".png")</f>
        <v/>
      </c>
      <c r="F47" s="16" t="str">
        <f>image("https://i.imgur.com/rAI9Gyi.png")</f>
        <v/>
      </c>
      <c r="G47" s="20" t="str">
        <f>image("https://pokejungle.net/sprites/shiny/"&amp;F43&amp;".png")</f>
        <v/>
      </c>
      <c r="H47" s="16" t="str">
        <f>image("https://i.imgur.com/rAI9Gyi.png")</f>
        <v/>
      </c>
      <c r="I47" s="20" t="str">
        <f>image("https://pokejungle.net/sprites/shiny/"&amp;H43&amp;".png")</f>
        <v/>
      </c>
      <c r="J47" s="16" t="str">
        <f>image("https://i.imgur.com/EkqYYOB.png")</f>
        <v/>
      </c>
      <c r="K47" s="20" t="str">
        <f>image("https://pokejungle.net/sprites/shiny/"&amp;J43&amp;".png")</f>
        <v/>
      </c>
      <c r="L47" s="16" t="str">
        <f>image("https://i.imgur.com/rJhTvoD.png")</f>
        <v/>
      </c>
      <c r="M47" s="20" t="str">
        <f>image("https://pokejungle.net/sprites/shiny/"&amp;L43&amp;".png")</f>
        <v/>
      </c>
      <c r="N47" s="16" t="str">
        <f>image("https://i.imgur.com/JOd7Boe.png")</f>
        <v/>
      </c>
      <c r="O47" s="20" t="str">
        <f>image("https://pokejungle.net/sprites/shiny/"&amp;N43&amp;".png")</f>
        <v/>
      </c>
      <c r="P47" s="16" t="str">
        <f>image("https://i.imgur.com/JOd7Boe.png")</f>
        <v/>
      </c>
      <c r="Q47" s="20" t="str">
        <f>image("https://pokejungle.net/sprites/shiny/"&amp;P43&amp;".png")</f>
        <v/>
      </c>
      <c r="R47" s="33"/>
    </row>
    <row r="48" ht="26.25" customHeight="1">
      <c r="A48" s="15"/>
      <c r="B48" s="38" t="str">
        <f>image("https://i.imgur.com/XIu6jDl.png")</f>
        <v/>
      </c>
      <c r="C48" s="36"/>
      <c r="D48" s="46" t="str">
        <f>image("https://i.imgur.com/EkqYYOB.png")</f>
        <v/>
      </c>
      <c r="E48" s="36"/>
      <c r="F48" s="38" t="str">
        <f>image("https://i.imgur.com/lKAfx6k.png")</f>
        <v/>
      </c>
      <c r="G48" s="36"/>
      <c r="H48" s="38" t="str">
        <f>image("https://i.imgur.com/lKAfx6k.png")</f>
        <v/>
      </c>
      <c r="I48" s="36"/>
      <c r="J48" s="38" t="str">
        <f>image("https://i.imgur.com/XIu6jDl.png")</f>
        <v/>
      </c>
      <c r="K48" s="36"/>
      <c r="L48" s="46" t="str">
        <f>image("https://i.imgur.com/rAI9Gyi.png")</f>
        <v/>
      </c>
      <c r="M48" s="36"/>
      <c r="N48" s="38" t="str">
        <f>image("https://i.imgur.com/0ArMZjJ.png")</f>
        <v/>
      </c>
      <c r="O48" s="36"/>
      <c r="P48" s="38" t="str">
        <f>image("https://i.imgur.com/0ArMZjJ.png")</f>
        <v/>
      </c>
      <c r="Q48" s="36"/>
      <c r="R48" s="33"/>
    </row>
    <row r="49" ht="26.25" customHeight="1">
      <c r="A49" s="15"/>
      <c r="B49" s="40" t="str">
        <f>image("https://i.imgur.com/XzidFHI.png")</f>
        <v/>
      </c>
      <c r="C49" s="41"/>
      <c r="D49" s="40" t="str">
        <f>image("https://i.imgur.com/RqSOGo6.png")</f>
        <v/>
      </c>
      <c r="E49" s="41"/>
      <c r="F49" s="40"/>
      <c r="G49" s="41"/>
      <c r="H49" s="40"/>
      <c r="I49" s="41"/>
      <c r="J49" s="43" t="str">
        <f>image("https://i.imgur.com/VQL4lPa.png")</f>
        <v/>
      </c>
      <c r="K49" s="41"/>
      <c r="L49" s="40" t="str">
        <f>image("https://i.imgur.com/EkqYYOB.png")</f>
        <v/>
      </c>
      <c r="M49" s="41"/>
      <c r="N49" s="40" t="str">
        <f>image("https://i.imgur.com/NkILW1J.png")</f>
        <v/>
      </c>
      <c r="O49" s="41"/>
      <c r="P49" s="40" t="str">
        <f>image("https://i.imgur.com/NkILW1J.png")</f>
        <v/>
      </c>
      <c r="Q49" s="41"/>
      <c r="R49" s="33"/>
    </row>
    <row r="50" ht="18.75" customHeight="1">
      <c r="A50" s="6"/>
      <c r="B50" s="8" t="s">
        <v>395</v>
      </c>
      <c r="C50" s="10" t="s">
        <v>396</v>
      </c>
      <c r="D50" s="8" t="s">
        <v>397</v>
      </c>
      <c r="E50" s="10" t="s">
        <v>398</v>
      </c>
      <c r="F50" s="8" t="s">
        <v>399</v>
      </c>
      <c r="G50" s="10" t="s">
        <v>400</v>
      </c>
      <c r="H50" s="8" t="s">
        <v>401</v>
      </c>
      <c r="I50" s="10" t="s">
        <v>402</v>
      </c>
      <c r="J50" s="8" t="s">
        <v>403</v>
      </c>
      <c r="K50" s="10" t="s">
        <v>404</v>
      </c>
      <c r="L50" s="8" t="s">
        <v>405</v>
      </c>
      <c r="M50" s="10" t="s">
        <v>406</v>
      </c>
      <c r="N50" s="8" t="s">
        <v>407</v>
      </c>
      <c r="O50" s="10" t="s">
        <v>408</v>
      </c>
      <c r="P50" s="8" t="s">
        <v>409</v>
      </c>
      <c r="Q50" s="10" t="s">
        <v>410</v>
      </c>
      <c r="R50" s="14"/>
    </row>
    <row r="51" ht="26.25" customHeight="1">
      <c r="A51" s="15"/>
      <c r="B51" s="16" t="str">
        <f>image("https://i.imgur.com/NkILW1J.png")</f>
        <v/>
      </c>
      <c r="C51" s="20" t="str">
        <f>image("https://pokejungle.net/sprites/normal/"&amp;B50&amp;".png")</f>
        <v/>
      </c>
      <c r="D51" s="16" t="str">
        <f>image("https://i.imgur.com/XNzvO0H.png")</f>
        <v/>
      </c>
      <c r="E51" s="20" t="str">
        <f>image("https://pokejungle.net/sprites/normal/"&amp;D50&amp;".png")</f>
        <v/>
      </c>
      <c r="F51" s="16" t="str">
        <f>image("https://i.imgur.com/a9HBljD.png")</f>
        <v/>
      </c>
      <c r="G51" s="20" t="str">
        <f>image("https://pokejungle.net/sprites/normal/"&amp;F50&amp;".png")</f>
        <v/>
      </c>
      <c r="H51" s="16" t="str">
        <f>image("https://i.imgur.com/VQL4lPa.png")</f>
        <v/>
      </c>
      <c r="I51" s="20" t="str">
        <f>image("https://pokejungle.net/sprites/normal/"&amp;H50&amp;".png")</f>
        <v/>
      </c>
      <c r="J51" s="16" t="str">
        <f>image("https://i.imgur.com/zpybKax.png")</f>
        <v/>
      </c>
      <c r="K51" s="20" t="str">
        <f>image("https://pokejungle.net/sprites/normal/"&amp;J50&amp;".png")</f>
        <v/>
      </c>
      <c r="L51" s="28" t="str">
        <f>image("https://i.imgur.com/lKAfx6k.png")</f>
        <v/>
      </c>
      <c r="M51" s="20" t="str">
        <f>image("https://pokejungle.net/sprites/normal/"&amp;L50&amp;".png")</f>
        <v/>
      </c>
      <c r="N51" s="16" t="str">
        <f>image("https://i.imgur.com/zpybKax.png")</f>
        <v/>
      </c>
      <c r="O51" s="20" t="str">
        <f>image("https://pokejungle.net/sprites/normal/"&amp;N50&amp;".png")</f>
        <v/>
      </c>
      <c r="P51" s="16" t="str">
        <f>image("https://i.imgur.com/JDgAgAO.png")</f>
        <v/>
      </c>
      <c r="Q51" s="20" t="str">
        <f>image("https://pokejungle.net/sprites/normal/"&amp;P50&amp;".png")</f>
        <v/>
      </c>
      <c r="R51" s="33"/>
    </row>
    <row r="52" ht="26.25" customHeight="1">
      <c r="A52" s="15"/>
      <c r="B52" s="38" t="str">
        <f>image("https://i.imgur.com/JOd7Boe.png")</f>
        <v/>
      </c>
      <c r="C52" s="36"/>
      <c r="D52" s="35" t="str">
        <f>image("https://i.imgur.com/SF5CZ6U.png")</f>
        <v/>
      </c>
      <c r="E52" s="36"/>
      <c r="F52" s="35" t="str">
        <f>image("https://i.imgur.com/0ArMZjJ.png")</f>
        <v/>
      </c>
      <c r="G52" s="36"/>
      <c r="H52" s="35" t="str">
        <f>image("https://i.imgur.com/JDgAgAO.png")</f>
        <v/>
      </c>
      <c r="I52" s="36"/>
      <c r="J52" s="35" t="str">
        <f>image("https://i.imgur.com/JDgAgAO.png")</f>
        <v/>
      </c>
      <c r="K52" s="36"/>
      <c r="L52" s="35" t="str">
        <f>image("https://i.imgur.com/rJhTvoD.png")</f>
        <v/>
      </c>
      <c r="M52" s="36"/>
      <c r="N52" s="35" t="str">
        <f>image("https://i.imgur.com/JDgAgAO.png")</f>
        <v/>
      </c>
      <c r="O52" s="36"/>
      <c r="P52" s="35" t="str">
        <f>image("https://i.imgur.com/ef1o2lD.png")</f>
        <v/>
      </c>
      <c r="Q52" s="36"/>
      <c r="R52" s="33"/>
    </row>
    <row r="53" ht="26.25" customHeight="1">
      <c r="A53" s="15"/>
      <c r="B53" s="40"/>
      <c r="C53" s="41"/>
      <c r="D53" s="40" t="str">
        <f>image("https://i.imgur.com/ef1o2lD.png")</f>
        <v/>
      </c>
      <c r="E53" s="41"/>
      <c r="F53" s="43" t="str">
        <f>image("https://i.imgur.com/rAI9Gyi.png")</f>
        <v/>
      </c>
      <c r="G53" s="41"/>
      <c r="H53" s="40" t="str">
        <f>image("https://i.imgur.com/XIu6jDl.png")</f>
        <v/>
      </c>
      <c r="I53" s="41"/>
      <c r="J53" s="40"/>
      <c r="K53" s="41"/>
      <c r="L53" s="40" t="str">
        <f>image("https://i.imgur.com/GyNf8BH.png")</f>
        <v/>
      </c>
      <c r="M53" s="41"/>
      <c r="N53" s="40"/>
      <c r="O53" s="41"/>
      <c r="P53" s="40" t="str">
        <f>image("https://i.imgur.com/XzidFHI.png")</f>
        <v/>
      </c>
      <c r="Q53" s="41"/>
      <c r="R53" s="33"/>
    </row>
    <row r="54" ht="26.25" customHeight="1">
      <c r="A54" s="15"/>
      <c r="B54" s="16" t="str">
        <f>image("https://i.imgur.com/JOd7Boe.png")</f>
        <v/>
      </c>
      <c r="C54" s="20" t="str">
        <f>image("https://pokejungle.net/sprites/shiny/"&amp;B50&amp;".png")</f>
        <v/>
      </c>
      <c r="D54" s="16" t="str">
        <f>image("https://i.imgur.com/0ArMZjJ.png")</f>
        <v/>
      </c>
      <c r="E54" s="20" t="str">
        <f>image("https://pokejungle.net/sprites/shiny/"&amp;D50&amp;"-f.png")</f>
        <v/>
      </c>
      <c r="F54" s="16" t="str">
        <f>image("https://i.imgur.com/JDgAgAO.png")</f>
        <v/>
      </c>
      <c r="G54" s="20" t="str">
        <f>image("https://pokejungle.net/sprites/shiny/"&amp;F50&amp;"-f.png")</f>
        <v/>
      </c>
      <c r="H54" s="16" t="str">
        <f>image("https://i.imgur.com/zpybKax.png")</f>
        <v/>
      </c>
      <c r="I54" s="20" t="str">
        <f>image("https://pokejungle.net/sprites/shiny/"&amp;H50&amp;".png")</f>
        <v/>
      </c>
      <c r="J54" s="16" t="str">
        <f>image("https://i.imgur.com/beHgI95.png")</f>
        <v/>
      </c>
      <c r="K54" s="20" t="str">
        <f>image("https://pokejungle.net/sprites/shiny/"&amp;J50&amp;".png")</f>
        <v/>
      </c>
      <c r="L54" s="16" t="str">
        <f>image("https://i.imgur.com/lKAfx6k.png")</f>
        <v/>
      </c>
      <c r="M54" s="20" t="str">
        <f>image("https://pokejungle.net/sprites/shiny/"&amp;L50&amp;".png")</f>
        <v/>
      </c>
      <c r="N54" s="16" t="str">
        <f>image("https://i.imgur.com/zpybKax.png")</f>
        <v/>
      </c>
      <c r="O54" s="20" t="str">
        <f>image("https://pokejungle.net/sprites/shiny/"&amp;N50&amp;".png")</f>
        <v/>
      </c>
      <c r="P54" s="16" t="str">
        <f>image("https://i.imgur.com/JDgAgAO.png")</f>
        <v/>
      </c>
      <c r="Q54" s="20" t="str">
        <f>image("https://pokejungle.net/sprites/shiny/"&amp;P50&amp;".png")</f>
        <v/>
      </c>
      <c r="R54" s="33"/>
    </row>
    <row r="55" ht="26.25" customHeight="1">
      <c r="A55" s="15"/>
      <c r="B55" s="38" t="str">
        <f>image("https://i.imgur.com/0ArMZjJ.png")</f>
        <v/>
      </c>
      <c r="C55" s="36"/>
      <c r="D55" s="46" t="str">
        <f>image("https://i.imgur.com/rAI9Gyi.png")</f>
        <v/>
      </c>
      <c r="E55" s="36"/>
      <c r="F55" s="35" t="str">
        <f>image("https://i.imgur.com/XNzvO0H.png")</f>
        <v/>
      </c>
      <c r="G55" s="36"/>
      <c r="H55" s="35" t="str">
        <f>image("https://i.imgur.com/JDgAgAO.png")</f>
        <v/>
      </c>
      <c r="I55" s="36"/>
      <c r="J55" s="35" t="str">
        <f>image("https://i.imgur.com/JDgAgAO.png")</f>
        <v/>
      </c>
      <c r="K55" s="36"/>
      <c r="L55" s="46" t="str">
        <f>image("https://i.imgur.com/rJhTvoD.png")</f>
        <v/>
      </c>
      <c r="M55" s="36"/>
      <c r="N55" s="35" t="str">
        <f>image("https://i.imgur.com/VQL4lPa.png")</f>
        <v/>
      </c>
      <c r="O55" s="36"/>
      <c r="P55" s="38" t="str">
        <f>image("https://i.imgur.com/rAI9Gyi.png")</f>
        <v/>
      </c>
      <c r="Q55" s="36"/>
      <c r="R55" s="33"/>
    </row>
    <row r="56" ht="26.25" customHeight="1">
      <c r="A56" s="15"/>
      <c r="B56" s="40" t="str">
        <f>image("https://i.imgur.com/NkILW1J.png")</f>
        <v/>
      </c>
      <c r="C56" s="41"/>
      <c r="D56" s="40" t="str">
        <f>image("https://i.imgur.com/GyNf8BH.png")</f>
        <v/>
      </c>
      <c r="E56" s="41"/>
      <c r="F56" s="40" t="str">
        <f>image("https://i.imgur.com/zpybKax.png")</f>
        <v/>
      </c>
      <c r="G56" s="41"/>
      <c r="H56" s="43"/>
      <c r="I56" s="41"/>
      <c r="J56" s="40"/>
      <c r="K56" s="41"/>
      <c r="L56" s="40" t="str">
        <f>image("https://i.imgur.com/GyNf8BH.png")</f>
        <v/>
      </c>
      <c r="M56" s="41"/>
      <c r="N56" s="40" t="str">
        <f>image("https://i.imgur.com/XIu6jDl.png")</f>
        <v/>
      </c>
      <c r="O56" s="41"/>
      <c r="P56" s="40" t="str">
        <f>image("https://i.imgur.com/XzidFHI.png")</f>
        <v/>
      </c>
      <c r="Q56" s="41"/>
      <c r="R56" s="33"/>
    </row>
    <row r="57" ht="18.75" customHeight="1">
      <c r="A57" s="6"/>
      <c r="B57" s="8" t="s">
        <v>450</v>
      </c>
      <c r="C57" s="10" t="s">
        <v>451</v>
      </c>
      <c r="D57" s="8" t="s">
        <v>452</v>
      </c>
      <c r="E57" s="10" t="s">
        <v>453</v>
      </c>
      <c r="F57" s="8" t="s">
        <v>454</v>
      </c>
      <c r="G57" s="10" t="s">
        <v>455</v>
      </c>
      <c r="H57" s="8" t="s">
        <v>456</v>
      </c>
      <c r="I57" s="10" t="s">
        <v>457</v>
      </c>
      <c r="J57" s="8" t="s">
        <v>458</v>
      </c>
      <c r="K57" s="10" t="s">
        <v>459</v>
      </c>
      <c r="L57" s="8" t="s">
        <v>460</v>
      </c>
      <c r="M57" s="10" t="s">
        <v>461</v>
      </c>
      <c r="N57" s="8" t="s">
        <v>462</v>
      </c>
      <c r="O57" s="10" t="s">
        <v>463</v>
      </c>
      <c r="P57" s="8" t="s">
        <v>464</v>
      </c>
      <c r="Q57" s="10" t="s">
        <v>465</v>
      </c>
      <c r="R57" s="14"/>
    </row>
    <row r="58" ht="26.25" customHeight="1">
      <c r="A58" s="15"/>
      <c r="B58" s="16" t="str">
        <f>image("https://i.imgur.com/JDgAgAO.png")</f>
        <v/>
      </c>
      <c r="C58" s="20" t="str">
        <f>image("https://pokejungle.net/sprites/normal/"&amp;B57&amp;".png")</f>
        <v/>
      </c>
      <c r="D58" s="16" t="str">
        <f>image("https://i.imgur.com/VQL4lPa.png")</f>
        <v/>
      </c>
      <c r="E58" s="20" t="str">
        <f>image("https://pokejungle.net/sprites/normal/"&amp;D57&amp;"-f.png")</f>
        <v/>
      </c>
      <c r="F58" s="16" t="str">
        <f>image("https://i.imgur.com/XIu6jDl.png")</f>
        <v/>
      </c>
      <c r="G58" s="20" t="str">
        <f>image("https://pokejungle.net/sprites/normal/"&amp;F57&amp;".png")</f>
        <v/>
      </c>
      <c r="H58" s="24" t="str">
        <f>image("https://i.imgur.com/nNTmuH8.png")</f>
        <v/>
      </c>
      <c r="I58" s="20" t="str">
        <f>image("https://pokejungle.net/sprites/normal/"&amp;H57&amp;".png")</f>
        <v/>
      </c>
      <c r="J58" s="16" t="str">
        <f>image("https://i.imgur.com/ef1o2lD.png")</f>
        <v/>
      </c>
      <c r="K58" s="20" t="str">
        <f>image("https://pokejungle.net/sprites/normal/"&amp;J57&amp;".png")</f>
        <v/>
      </c>
      <c r="L58" s="28" t="str">
        <f>image("https://i.imgur.com/zpybKax.png")</f>
        <v/>
      </c>
      <c r="M58" s="20" t="str">
        <f>image("https://pokejungle.net/sprites/normal/"&amp;L57&amp;".png")</f>
        <v/>
      </c>
      <c r="N58" s="16" t="str">
        <f>image("https://i.imgur.com/XNzvO0H.png")</f>
        <v/>
      </c>
      <c r="O58" s="20" t="str">
        <f>image("https://pokejungle.net/sprites/normal/"&amp;N57&amp;".png")</f>
        <v/>
      </c>
      <c r="P58" s="16" t="str">
        <f>image("https://i.imgur.com/XNzvO0H.png")</f>
        <v/>
      </c>
      <c r="Q58" s="20" t="str">
        <f>image("https://pokejungle.net/sprites/normal/"&amp;P57&amp;".png")</f>
        <v/>
      </c>
      <c r="R58" s="33"/>
    </row>
    <row r="59" ht="26.25" customHeight="1">
      <c r="A59" s="15"/>
      <c r="B59" s="38" t="str">
        <f>image("https://i.imgur.com/rAI9Gyi.png")</f>
        <v/>
      </c>
      <c r="C59" s="36"/>
      <c r="D59" s="35" t="str">
        <f>image("https://i.imgur.com/SF5CZ6U.png")</f>
        <v/>
      </c>
      <c r="E59" s="36"/>
      <c r="F59" s="35" t="str">
        <f>image("https://i.imgur.com/VQL4lPa.png")</f>
        <v/>
      </c>
      <c r="G59" s="36"/>
      <c r="H59" s="37" t="str">
        <f>image("https://i.imgur.com/XI18XGu.png")</f>
        <v/>
      </c>
      <c r="I59" s="36"/>
      <c r="J59" s="38" t="str">
        <f>image("https://i.imgur.com/SF5CZ6U.png")</f>
        <v/>
      </c>
      <c r="K59" s="36"/>
      <c r="L59" s="35" t="str">
        <f>image("https://i.imgur.com/ef1o2lD.png")</f>
        <v/>
      </c>
      <c r="M59" s="36"/>
      <c r="N59" s="38" t="str">
        <f>image("https://i.imgur.com/XzidFHI.png")</f>
        <v/>
      </c>
      <c r="O59" s="36"/>
      <c r="P59" s="38" t="str">
        <f>image("https://i.imgur.com/XzidFHI.png")</f>
        <v/>
      </c>
      <c r="Q59" s="36"/>
      <c r="R59" s="33"/>
    </row>
    <row r="60" ht="26.25" customHeight="1">
      <c r="A60" s="15"/>
      <c r="B60" s="40" t="str">
        <f>image("https://i.imgur.com/XzidFHI.png")</f>
        <v/>
      </c>
      <c r="C60" s="41"/>
      <c r="D60" s="40" t="str">
        <f t="shared" ref="D60:D61" si="1">image("https://i.imgur.com/XIu6jDl.png")</f>
        <v/>
      </c>
      <c r="E60" s="41"/>
      <c r="F60" s="40" t="str">
        <f>image("https://i.imgur.com/beHgI95.png")</f>
        <v/>
      </c>
      <c r="G60" s="41"/>
      <c r="H60" s="40" t="str">
        <f>image("https://i.imgur.com/beHgI95.png")</f>
        <v/>
      </c>
      <c r="I60" s="41"/>
      <c r="J60" s="40" t="str">
        <f t="shared" ref="J60:J61" si="2">image("https://i.imgur.com/zpybKax.png")</f>
        <v/>
      </c>
      <c r="K60" s="41"/>
      <c r="L60" s="43" t="str">
        <f>image("https://i.imgur.com/JDgAgAO.png")</f>
        <v/>
      </c>
      <c r="M60" s="41"/>
      <c r="N60" s="43" t="str">
        <f>image("https://i.imgur.com/SF5CZ6U.png")</f>
        <v/>
      </c>
      <c r="O60" s="41"/>
      <c r="P60" s="43" t="str">
        <f>image("https://i.imgur.com/SF5CZ6U.png")</f>
        <v/>
      </c>
      <c r="Q60" s="41"/>
      <c r="R60" s="33"/>
    </row>
    <row r="61" ht="26.25" customHeight="1">
      <c r="A61" s="15"/>
      <c r="B61" s="16" t="str">
        <f>image("https://i.imgur.com/JDgAgAO.png")</f>
        <v/>
      </c>
      <c r="C61" s="20" t="str">
        <f>image("https://pokejungle.net/sprites/shiny/"&amp;B57&amp;".png")</f>
        <v/>
      </c>
      <c r="D61" s="16" t="str">
        <f t="shared" si="1"/>
        <v/>
      </c>
      <c r="E61" s="20" t="str">
        <f>image("https://pokejungle.net/sprites/shiny/"&amp;D57&amp;".png")</f>
        <v/>
      </c>
      <c r="F61" s="16" t="str">
        <f>image("https://i.imgur.com/JDgAgAO.png")</f>
        <v/>
      </c>
      <c r="G61" s="20" t="str">
        <f>image("https://pokejungle.net/sprites/shiny/"&amp;F57&amp;"-f.png")</f>
        <v/>
      </c>
      <c r="H61" s="16" t="str">
        <f>image("https://i.imgur.com/JDgAgAO.png")</f>
        <v/>
      </c>
      <c r="I61" s="20" t="str">
        <f>image("https://pokejungle.net/sprites/shiny/"&amp;H57&amp;"-f.png")</f>
        <v/>
      </c>
      <c r="J61" s="16" t="str">
        <f t="shared" si="2"/>
        <v/>
      </c>
      <c r="K61" s="20" t="str">
        <f>image("https://pokejungle.net/sprites/shiny/"&amp;J57&amp;".png")</f>
        <v/>
      </c>
      <c r="L61" s="24" t="str">
        <f>image("https://i.imgur.com/nNTmuH8.png")</f>
        <v/>
      </c>
      <c r="M61" s="20" t="str">
        <f>image("https://pokejungle.net/sprites/shiny/"&amp;L57&amp;".png")</f>
        <v/>
      </c>
      <c r="N61" s="24" t="str">
        <f>image("https://i.imgur.com/nNTmuH8.png")</f>
        <v/>
      </c>
      <c r="O61" s="20" t="str">
        <f>image("https://pokejungle.net/sprites/shiny/"&amp;N57&amp;".png")</f>
        <v/>
      </c>
      <c r="P61" s="24" t="str">
        <f>image("https://i.imgur.com/nNTmuH8.png")</f>
        <v/>
      </c>
      <c r="Q61" s="20" t="str">
        <f>image("https://pokejungle.net/sprites/shiny/"&amp;P57&amp;".png")</f>
        <v/>
      </c>
      <c r="R61" s="33"/>
    </row>
    <row r="62" ht="26.25" customHeight="1">
      <c r="A62" s="15"/>
      <c r="B62" s="38" t="str">
        <f>image("https://i.imgur.com/zpybKax.png")</f>
        <v/>
      </c>
      <c r="C62" s="36"/>
      <c r="D62" s="46" t="str">
        <f>image("https://i.imgur.com/EkqYYOB.png")</f>
        <v/>
      </c>
      <c r="E62" s="36"/>
      <c r="F62" s="38" t="str">
        <f>image("https://i.imgur.com/zpybKax.png")</f>
        <v/>
      </c>
      <c r="G62" s="36"/>
      <c r="H62" s="38" t="str">
        <f>image("https://i.imgur.com/zpybKax.png")</f>
        <v/>
      </c>
      <c r="I62" s="36"/>
      <c r="J62" s="35" t="str">
        <f>image("https://i.imgur.com/VQL4lPa.png")</f>
        <v/>
      </c>
      <c r="K62" s="36"/>
      <c r="L62" s="46" t="str">
        <f>image("https://i.imgur.com/XI18XGu.png")</f>
        <v/>
      </c>
      <c r="M62" s="36"/>
      <c r="N62" s="38" t="str">
        <f>image("https://i.imgur.com/XI18XGu.png")</f>
        <v/>
      </c>
      <c r="O62" s="36"/>
      <c r="P62" s="38" t="str">
        <f>image("https://i.imgur.com/XI18XGu.png")</f>
        <v/>
      </c>
      <c r="Q62" s="36"/>
      <c r="R62" s="33"/>
    </row>
    <row r="63" ht="26.25" customHeight="1">
      <c r="A63" s="15"/>
      <c r="B63" s="40" t="str">
        <f>image("https://i.imgur.com/XzidFHI.png")</f>
        <v/>
      </c>
      <c r="C63" s="41"/>
      <c r="D63" s="43" t="str">
        <f>image("https://i.imgur.com/N2Wqr43.png")</f>
        <v/>
      </c>
      <c r="E63" s="41"/>
      <c r="F63" s="40" t="str">
        <f>image("https://i.imgur.com/XzidFHI.png")</f>
        <v/>
      </c>
      <c r="G63" s="41"/>
      <c r="H63" s="40" t="str">
        <f>image("https://i.imgur.com/XzidFHI.png")</f>
        <v/>
      </c>
      <c r="I63" s="41"/>
      <c r="J63" s="40" t="str">
        <f>image("https://i.imgur.com/XIu6jDl.png")</f>
        <v/>
      </c>
      <c r="K63" s="41"/>
      <c r="L63" s="43" t="str">
        <f>image("https://i.imgur.com/rAI9Gyi.png")</f>
        <v/>
      </c>
      <c r="M63" s="41"/>
      <c r="N63" s="43" t="str">
        <f>image("https://i.imgur.com/rAI9Gyi.png")</f>
        <v/>
      </c>
      <c r="O63" s="41"/>
      <c r="P63" s="43" t="str">
        <f>image("https://i.imgur.com/rAI9Gyi.png")</f>
        <v/>
      </c>
      <c r="Q63" s="41"/>
      <c r="R63" s="33"/>
    </row>
    <row r="64" ht="18.75" customHeight="1">
      <c r="A64" s="6"/>
      <c r="B64" s="8" t="s">
        <v>511</v>
      </c>
      <c r="C64" s="10" t="s">
        <v>512</v>
      </c>
      <c r="D64" s="8" t="s">
        <v>513</v>
      </c>
      <c r="E64" s="10" t="s">
        <v>514</v>
      </c>
      <c r="F64" s="8" t="s">
        <v>515</v>
      </c>
      <c r="G64" s="10" t="s">
        <v>516</v>
      </c>
      <c r="H64" s="8" t="s">
        <v>517</v>
      </c>
      <c r="I64" s="10" t="s">
        <v>518</v>
      </c>
      <c r="J64" s="8" t="s">
        <v>519</v>
      </c>
      <c r="K64" s="10" t="s">
        <v>520</v>
      </c>
      <c r="L64" s="8" t="s">
        <v>521</v>
      </c>
      <c r="M64" s="10" t="s">
        <v>522</v>
      </c>
      <c r="N64" s="8" t="s">
        <v>523</v>
      </c>
      <c r="O64" s="10" t="s">
        <v>524</v>
      </c>
      <c r="P64" s="8" t="s">
        <v>525</v>
      </c>
      <c r="Q64" s="10" t="s">
        <v>526</v>
      </c>
      <c r="R64" s="14"/>
    </row>
    <row r="65" ht="26.25" customHeight="1">
      <c r="A65" s="15"/>
      <c r="B65" s="16" t="str">
        <f>image("https://i.imgur.com/VQL4lPa.png")</f>
        <v/>
      </c>
      <c r="C65" s="20" t="str">
        <f>image("https://pokejungle.net/sprites/normal/"&amp;B64&amp;"-f.png")</f>
        <v/>
      </c>
      <c r="D65" s="16" t="str">
        <f>image("https://i.imgur.com/RqSOGo6.png")</f>
        <v/>
      </c>
      <c r="E65" s="20" t="str">
        <f>image("https://pokejungle.net/sprites/normal/"&amp;D64&amp;"-f.png")</f>
        <v/>
      </c>
      <c r="F65" s="16" t="str">
        <f>image("https://i.imgur.com/RqSOGo6.png")</f>
        <v/>
      </c>
      <c r="G65" s="20" t="str">
        <f>image("https://pokejungle.net/sprites/normal/"&amp;F64&amp;".png")</f>
        <v/>
      </c>
      <c r="H65" s="24" t="str">
        <f>image("https://i.imgur.com/EkqYYOB.png")</f>
        <v/>
      </c>
      <c r="I65" s="20" t="str">
        <f>image("https://pokejungle.net/sprites/normal/"&amp;H64&amp;".png")</f>
        <v/>
      </c>
      <c r="J65" s="16" t="str">
        <f>image("https://i.imgur.com/EkqYYOB.png")</f>
        <v/>
      </c>
      <c r="K65" s="20" t="str">
        <f>image("https://pokejungle.net/sprites/normal/"&amp;J64&amp;".png")</f>
        <v/>
      </c>
      <c r="L65" s="28" t="str">
        <f>image("https://i.imgur.com/bxys1sd.png")</f>
        <v/>
      </c>
      <c r="M65" s="20" t="str">
        <f>image("https://pokejungle.net/sprites/normal/"&amp;L64&amp;".png")</f>
        <v/>
      </c>
      <c r="N65" s="16" t="str">
        <f>image("https://i.imgur.com/RqSOGo6.png")</f>
        <v/>
      </c>
      <c r="O65" s="20" t="str">
        <f>image("https://pokejungle.net/sprites/normal/"&amp;N64&amp;".png")</f>
        <v/>
      </c>
      <c r="P65" s="16" t="str">
        <f>image("https://i.imgur.com/XIu6jDl.png")</f>
        <v/>
      </c>
      <c r="Q65" s="20" t="str">
        <f>image("https://pokejungle.net/sprites/normal/"&amp;P64&amp;".png")</f>
        <v/>
      </c>
      <c r="R65" s="33"/>
    </row>
    <row r="66" ht="26.25" customHeight="1">
      <c r="A66" s="15"/>
      <c r="B66" s="38" t="str">
        <f>image("https://i.imgur.com/XIu6jDl.png")</f>
        <v/>
      </c>
      <c r="C66" s="36"/>
      <c r="D66" s="35" t="str">
        <f>image("https://i.imgur.com/ef1o2lD.png")</f>
        <v/>
      </c>
      <c r="E66" s="36"/>
      <c r="F66" s="35" t="str">
        <f>image("https://i.imgur.com/rJhTvoD.png")</f>
        <v/>
      </c>
      <c r="G66" s="36"/>
      <c r="H66" s="46" t="str">
        <f>image("https://i.imgur.com/XI18XGu.png")</f>
        <v/>
      </c>
      <c r="I66" s="36"/>
      <c r="J66" s="46" t="str">
        <f>image("https://i.imgur.com/XI18XGu.png")</f>
        <v/>
      </c>
      <c r="K66" s="36"/>
      <c r="L66" s="35" t="str">
        <f>image("https://i.imgur.com/JOd7Boe.png")</f>
        <v/>
      </c>
      <c r="M66" s="36"/>
      <c r="N66" s="38" t="str">
        <f>image("https://i.imgur.com/N2Wqr43.png")</f>
        <v/>
      </c>
      <c r="O66" s="36"/>
      <c r="P66" s="38" t="str">
        <f>image("https://i.imgur.com/N2Wqr43.png")</f>
        <v/>
      </c>
      <c r="Q66" s="36"/>
      <c r="R66" s="33"/>
    </row>
    <row r="67" ht="26.25" customHeight="1">
      <c r="A67" s="15"/>
      <c r="B67" s="40" t="str">
        <f t="shared" ref="B67:B68" si="3">image("https://i.imgur.com/RqSOGo6.png")</f>
        <v/>
      </c>
      <c r="C67" s="41"/>
      <c r="D67" s="40"/>
      <c r="E67" s="41"/>
      <c r="F67" s="40" t="str">
        <f>image("https://i.imgur.com/beHgI95.png")</f>
        <v/>
      </c>
      <c r="G67" s="41"/>
      <c r="H67" s="43" t="str">
        <f>image("https://i.imgur.com/rAI9Gyi.png")</f>
        <v/>
      </c>
      <c r="I67" s="41"/>
      <c r="J67" s="43" t="str">
        <f>image("https://i.imgur.com/rAI9Gyi.png")</f>
        <v/>
      </c>
      <c r="K67" s="41"/>
      <c r="L67" s="43"/>
      <c r="M67" s="41"/>
      <c r="N67" s="40"/>
      <c r="O67" s="41"/>
      <c r="P67" s="43" t="str">
        <f>image("https://i.imgur.com/VQL4lPa.png")</f>
        <v/>
      </c>
      <c r="Q67" s="41"/>
      <c r="R67" s="33"/>
    </row>
    <row r="68" ht="26.25" customHeight="1">
      <c r="A68" s="15"/>
      <c r="B68" s="16" t="str">
        <f t="shared" si="3"/>
        <v/>
      </c>
      <c r="C68" s="20" t="str">
        <f>image("https://pokejungle.net/sprites/shiny/"&amp;B64&amp;".png")</f>
        <v/>
      </c>
      <c r="D68" s="16" t="str">
        <f>image("https://i.imgur.com/beHgI95.png")</f>
        <v/>
      </c>
      <c r="E68" s="20" t="str">
        <f>image("https://pokejungle.net/sprites/shiny/"&amp;D64&amp;".png")</f>
        <v/>
      </c>
      <c r="F68" s="16" t="str">
        <f>image("https://i.imgur.com/lKAfx6k.png")</f>
        <v/>
      </c>
      <c r="G68" s="20" t="str">
        <f>image("https://pokejungle.net/sprites/shiny/"&amp;F64&amp;".png")</f>
        <v/>
      </c>
      <c r="H68" s="16" t="str">
        <f>image("https://i.imgur.com/EkqYYOB.png")</f>
        <v/>
      </c>
      <c r="I68" s="20" t="str">
        <f>image("https://pokejungle.net/sprites/shiny/"&amp;H64&amp;".png")</f>
        <v/>
      </c>
      <c r="J68" s="16" t="str">
        <f>image("https://i.imgur.com/EkqYYOB.png")</f>
        <v/>
      </c>
      <c r="K68" s="20" t="str">
        <f>image("https://pokejungle.net/sprites/shiny/"&amp;J64&amp;".png")</f>
        <v/>
      </c>
      <c r="L68" s="16" t="str">
        <f>image("https://i.imgur.com/XIu6jDl.png")</f>
        <v/>
      </c>
      <c r="M68" s="20" t="str">
        <f>image("https://pokejungle.net/sprites/shiny/"&amp;L64&amp;".png")</f>
        <v/>
      </c>
      <c r="N68" s="16" t="str">
        <f>image("https://i.imgur.com/XzidFHI.png")</f>
        <v/>
      </c>
      <c r="O68" s="20" t="str">
        <f>image("https://pokejungle.net/sprites/shiny/"&amp;N64&amp;".png")</f>
        <v/>
      </c>
      <c r="P68" s="16" t="str">
        <f>image("https://i.imgur.com/lpOVjtL.png")</f>
        <v/>
      </c>
      <c r="Q68" s="20" t="str">
        <f>image("https://pokejungle.net/sprites/shiny/"&amp;P64&amp;".png")</f>
        <v/>
      </c>
      <c r="R68" s="33"/>
    </row>
    <row r="69" ht="26.25" customHeight="1">
      <c r="A69" s="15"/>
      <c r="B69" s="35" t="str">
        <f>image("https://i.imgur.com/JDgAgAO.png")</f>
        <v/>
      </c>
      <c r="C69" s="36"/>
      <c r="D69" s="35" t="str">
        <f>image("https://i.imgur.com/JDgAgAO.png")</f>
        <v/>
      </c>
      <c r="E69" s="36"/>
      <c r="F69" s="35" t="str">
        <f>image("https://i.imgur.com/rJhTvoD.png")</f>
        <v/>
      </c>
      <c r="G69" s="36"/>
      <c r="H69" s="46" t="str">
        <f>image("https://i.imgur.com/rAI9Gyi.png")</f>
        <v/>
      </c>
      <c r="I69" s="36"/>
      <c r="J69" s="38" t="str">
        <f>image("https://i.imgur.com/rAI9Gyi.png")</f>
        <v/>
      </c>
      <c r="K69" s="36"/>
      <c r="L69" s="46" t="str">
        <f>image("https://i.imgur.com/lpOVjtL.png")</f>
        <v/>
      </c>
      <c r="M69" s="36"/>
      <c r="N69" s="38" t="str">
        <f>image("https://i.imgur.com/JDgAgAO.png")</f>
        <v/>
      </c>
      <c r="O69" s="36"/>
      <c r="P69" s="35" t="str">
        <f>image("https://i.imgur.com/rJhTvoD.png")</f>
        <v/>
      </c>
      <c r="Q69" s="36"/>
      <c r="R69" s="33"/>
    </row>
    <row r="70" ht="26.25" customHeight="1">
      <c r="A70" s="15"/>
      <c r="B70" s="40" t="str">
        <f>image("https://i.imgur.com/beHgI95.png")</f>
        <v/>
      </c>
      <c r="C70" s="41"/>
      <c r="D70" s="40" t="str">
        <f>image("https://i.imgur.com/EkqYYOB.png")</f>
        <v/>
      </c>
      <c r="E70" s="41"/>
      <c r="F70" s="40" t="str">
        <f>image("https://i.imgur.com/EkqYYOB.png")</f>
        <v/>
      </c>
      <c r="G70" s="41"/>
      <c r="H70" s="43" t="str">
        <f>image("https://i.imgur.com/JDgAgAO.png")</f>
        <v/>
      </c>
      <c r="I70" s="41"/>
      <c r="J70" s="43" t="str">
        <f>image("https://i.imgur.com/JDgAgAO.png")</f>
        <v/>
      </c>
      <c r="K70" s="41"/>
      <c r="L70" s="43" t="str">
        <f>image("https://i.imgur.com/VQL4lPa.png")</f>
        <v/>
      </c>
      <c r="M70" s="41"/>
      <c r="N70" s="40" t="str">
        <f>image("https://i.imgur.com/XIu6jDl.png")</f>
        <v/>
      </c>
      <c r="O70" s="41"/>
      <c r="P70" s="40" t="str">
        <f>image("https://i.imgur.com/beHgI95.png")</f>
        <v/>
      </c>
      <c r="Q70" s="41"/>
      <c r="R70" s="33"/>
    </row>
    <row r="71" ht="18.75" customHeight="1">
      <c r="A71" s="6"/>
      <c r="B71" s="8" t="s">
        <v>556</v>
      </c>
      <c r="C71" s="10" t="s">
        <v>557</v>
      </c>
      <c r="D71" s="8" t="s">
        <v>558</v>
      </c>
      <c r="E71" s="10" t="s">
        <v>559</v>
      </c>
      <c r="F71" s="8" t="s">
        <v>560</v>
      </c>
      <c r="G71" s="10" t="s">
        <v>561</v>
      </c>
      <c r="H71" s="8" t="s">
        <v>562</v>
      </c>
      <c r="I71" s="10" t="s">
        <v>563</v>
      </c>
      <c r="J71" s="8" t="s">
        <v>564</v>
      </c>
      <c r="K71" s="10" t="s">
        <v>565</v>
      </c>
      <c r="L71" s="8" t="s">
        <v>566</v>
      </c>
      <c r="M71" s="10" t="s">
        <v>567</v>
      </c>
      <c r="N71" s="8" t="s">
        <v>568</v>
      </c>
      <c r="O71" s="10" t="s">
        <v>569</v>
      </c>
      <c r="P71" s="8" t="s">
        <v>571</v>
      </c>
      <c r="Q71" s="10" t="s">
        <v>572</v>
      </c>
      <c r="R71" s="14"/>
    </row>
    <row r="72" ht="26.25" customHeight="1">
      <c r="A72" s="15"/>
      <c r="B72" s="16" t="str">
        <f>image("https://i.imgur.com/VQL4lPa.png")</f>
        <v/>
      </c>
      <c r="C72" s="20" t="str">
        <f>image("https://pokejungle.net/sprites/normal/"&amp;B71&amp;".png")</f>
        <v/>
      </c>
      <c r="D72" s="16" t="str">
        <f>image("https://i.imgur.com/XIu6jDl.png")</f>
        <v/>
      </c>
      <c r="E72" s="20" t="str">
        <f>image("https://pokejungle.net/sprites/normal/"&amp;D71&amp;".png")</f>
        <v/>
      </c>
      <c r="F72" s="16" t="str">
        <f>image("https://i.imgur.com/XIu6jDl.png")</f>
        <v/>
      </c>
      <c r="G72" s="20" t="str">
        <f>image("https://pokejungle.net/sprites/normal/"&amp;F71&amp;".png")</f>
        <v/>
      </c>
      <c r="H72" s="24" t="str">
        <f>image("https://i.imgur.com/0ArMZjJ.png")</f>
        <v/>
      </c>
      <c r="I72" s="20" t="str">
        <f>image("https://pokejungle.net/sprites/normal/"&amp;H71&amp;".png")</f>
        <v/>
      </c>
      <c r="J72" s="16" t="str">
        <f>image("https://i.imgur.com/0ArMZjJ.png")</f>
        <v/>
      </c>
      <c r="K72" s="20" t="str">
        <f>image("https://pokejungle.net/sprites/normal/"&amp;J71&amp;".png")</f>
        <v/>
      </c>
      <c r="L72" s="28" t="str">
        <f>image("https://i.imgur.com/0ArMZjJ.png")</f>
        <v/>
      </c>
      <c r="M72" s="20" t="str">
        <f>image("https://pokejungle.net/sprites/normal/"&amp;L71&amp;".png")</f>
        <v/>
      </c>
      <c r="N72" s="16" t="str">
        <f>image("https://i.imgur.com/rJhTvoD.png")</f>
        <v/>
      </c>
      <c r="O72" s="20" t="str">
        <f>image("https://pokejungle.net/sprites/normal/"&amp;N71&amp;".png")</f>
        <v/>
      </c>
      <c r="P72" s="16" t="str">
        <f>image("https://i.imgur.com/JDgAgAO.png")</f>
        <v/>
      </c>
      <c r="Q72" s="20" t="str">
        <f>image("https://pokejungle.net/sprites/normal/"&amp;P71&amp;".png")</f>
        <v/>
      </c>
      <c r="R72" s="33"/>
    </row>
    <row r="73" ht="26.25" customHeight="1">
      <c r="A73" s="15"/>
      <c r="B73" s="38" t="str">
        <f>image("https://i.imgur.com/N2Wqr43.png")</f>
        <v/>
      </c>
      <c r="C73" s="36"/>
      <c r="D73" s="35" t="str">
        <f>image("https://i.imgur.com/VQL4lPa.png")</f>
        <v/>
      </c>
      <c r="E73" s="36"/>
      <c r="F73" s="35" t="str">
        <f>image("https://i.imgur.com/VQL4lPa.png")</f>
        <v/>
      </c>
      <c r="G73" s="36"/>
      <c r="H73" s="37" t="str">
        <f>image("https://i.imgur.com/XNzvO0H.png")</f>
        <v/>
      </c>
      <c r="I73" s="36"/>
      <c r="J73" s="38" t="str">
        <f>image("https://i.imgur.com/XNzvO0H.png")</f>
        <v/>
      </c>
      <c r="K73" s="36"/>
      <c r="L73" s="35" t="str">
        <f>image("https://i.imgur.com/JOd7Boe.png")</f>
        <v/>
      </c>
      <c r="M73" s="36"/>
      <c r="N73" s="38" t="str">
        <f>image("https://i.imgur.com/JDgAgAO.png")</f>
        <v/>
      </c>
      <c r="O73" s="36"/>
      <c r="P73" s="46" t="str">
        <f>image("https://i.imgur.com/rJhTvoD.png")</f>
        <v/>
      </c>
      <c r="Q73" s="36"/>
      <c r="R73" s="33"/>
    </row>
    <row r="74" ht="26.25" customHeight="1">
      <c r="A74" s="15"/>
      <c r="B74" s="40" t="str">
        <f>image("https://i.imgur.com/XIu6jDl.png")</f>
        <v/>
      </c>
      <c r="C74" s="41"/>
      <c r="D74" s="40" t="str">
        <f>image("https://i.imgur.com/N2Wqr43.png")</f>
        <v/>
      </c>
      <c r="E74" s="41"/>
      <c r="F74" s="40" t="str">
        <f>image("https://i.imgur.com/N2Wqr43.png")</f>
        <v/>
      </c>
      <c r="G74" s="41"/>
      <c r="H74" s="43" t="str">
        <f>image("https://i.imgur.com/JDgAgAO.png")</f>
        <v/>
      </c>
      <c r="I74" s="41"/>
      <c r="J74" s="43" t="str">
        <f>image("https://i.imgur.com/JDgAgAO.png")</f>
        <v/>
      </c>
      <c r="K74" s="41"/>
      <c r="L74" s="40" t="str">
        <f>image("https://i.imgur.com/GyNf8BH.png")</f>
        <v/>
      </c>
      <c r="M74" s="41"/>
      <c r="N74" s="40" t="str">
        <f>image("https://i.imgur.com/beHgI95.png")</f>
        <v/>
      </c>
      <c r="O74" s="41"/>
      <c r="P74" s="40" t="str">
        <f>image("https://i.imgur.com/JOd7Boe.png")</f>
        <v/>
      </c>
      <c r="Q74" s="41"/>
      <c r="R74" s="33"/>
    </row>
    <row r="75" ht="26.25" customHeight="1">
      <c r="A75" s="15"/>
      <c r="B75" s="16" t="str">
        <f>image("https://i.imgur.com/VQL4lPa.png")</f>
        <v/>
      </c>
      <c r="C75" s="20" t="str">
        <f>image("https://pokejungle.net/sprites/shiny/"&amp;B71&amp;".png")</f>
        <v/>
      </c>
      <c r="D75" s="16" t="str">
        <f>image("https://i.imgur.com/lpOVjtL.png")</f>
        <v/>
      </c>
      <c r="E75" s="20" t="str">
        <f>image("https://pokejungle.net/sprites/shiny/"&amp;D71&amp;".png")</f>
        <v/>
      </c>
      <c r="F75" s="16" t="str">
        <f>image("https://i.imgur.com/lpOVjtL.png")</f>
        <v/>
      </c>
      <c r="G75" s="20" t="str">
        <f>image("https://pokejungle.net/sprites/shiny/"&amp;F71&amp;"-f.png")</f>
        <v/>
      </c>
      <c r="H75" s="16" t="str">
        <f>image("https://i.imgur.com/0ArMZjJ.png")</f>
        <v/>
      </c>
      <c r="I75" s="20" t="str">
        <f>image("https://pokejungle.net/sprites/shiny/"&amp;H71&amp;".png")</f>
        <v/>
      </c>
      <c r="J75" s="16" t="str">
        <f>image("https://i.imgur.com/0ArMZjJ.png")</f>
        <v/>
      </c>
      <c r="K75" s="20" t="str">
        <f>image("https://pokejungle.net/sprites/shiny/"&amp;J71&amp;".png")</f>
        <v/>
      </c>
      <c r="L75" s="16" t="str">
        <f>image("https://i.imgur.com/SF5CZ6U.png")</f>
        <v/>
      </c>
      <c r="M75" s="20" t="str">
        <f>image("https://pokejungle.net/sprites/shiny/"&amp;L71&amp;".png")</f>
        <v/>
      </c>
      <c r="N75" s="16" t="str">
        <f>image("https://i.imgur.com/N2Wqr43.png")</f>
        <v/>
      </c>
      <c r="O75" s="20" t="str">
        <f>image("https://pokejungle.net/sprites/shiny/"&amp;N71&amp;".png")</f>
        <v/>
      </c>
      <c r="P75" s="16" t="str">
        <f>image("https://i.imgur.com/JDgAgAO.png")</f>
        <v/>
      </c>
      <c r="Q75" s="20" t="str">
        <f>image("https://pokejungle.net/sprites/shiny/"&amp;P71&amp;".png")</f>
        <v/>
      </c>
      <c r="R75" s="33"/>
    </row>
    <row r="76" ht="26.25" customHeight="1">
      <c r="A76" s="15"/>
      <c r="B76" s="35" t="str">
        <f>image("https://i.imgur.com/zpybKax.png")</f>
        <v/>
      </c>
      <c r="C76" s="36"/>
      <c r="D76" s="46" t="str">
        <f>image("https://i.imgur.com/rJhTvoD.png")</f>
        <v/>
      </c>
      <c r="E76" s="36"/>
      <c r="F76" s="46" t="str">
        <f>image("https://i.imgur.com/rJhTvoD.png")</f>
        <v/>
      </c>
      <c r="G76" s="36"/>
      <c r="H76" s="46" t="str">
        <f>image("https://i.imgur.com/rJhTvoD.png")</f>
        <v/>
      </c>
      <c r="I76" s="36"/>
      <c r="J76" s="38" t="str">
        <f>image("https://i.imgur.com/rJhTvoD.png")</f>
        <v/>
      </c>
      <c r="K76" s="36"/>
      <c r="L76" s="46" t="str">
        <f>image("https://i.imgur.com/XNzvO0H.png")</f>
        <v/>
      </c>
      <c r="M76" s="36"/>
      <c r="N76" s="38" t="str">
        <f>image("https://i.imgur.com/JDgAgAO.png")</f>
        <v/>
      </c>
      <c r="O76" s="36"/>
      <c r="P76" s="38" t="str">
        <f>image("https://i.imgur.com/XzidFHI.png")</f>
        <v/>
      </c>
      <c r="Q76" s="36"/>
      <c r="R76" s="33"/>
    </row>
    <row r="77" ht="26.25" customHeight="1">
      <c r="A77" s="15"/>
      <c r="B77" s="40" t="str">
        <f>image("https://i.imgur.com/XIu6jDl.png")</f>
        <v/>
      </c>
      <c r="C77" s="41"/>
      <c r="D77" s="40" t="str">
        <f>image("https://i.imgur.com/RqSOGo6.png")</f>
        <v/>
      </c>
      <c r="E77" s="41"/>
      <c r="F77" s="40" t="str">
        <f>image("https://i.imgur.com/RqSOGo6.png")</f>
        <v/>
      </c>
      <c r="G77" s="41"/>
      <c r="H77" s="43" t="str">
        <f>image("https://i.imgur.com/JDgAgAO.png")</f>
        <v/>
      </c>
      <c r="I77" s="41"/>
      <c r="J77" s="43" t="str">
        <f>image("https://i.imgur.com/JDgAgAO.png")</f>
        <v/>
      </c>
      <c r="K77" s="41"/>
      <c r="L77" s="40" t="str">
        <f>image("https://i.imgur.com/ef1o2lD.png")</f>
        <v/>
      </c>
      <c r="M77" s="41"/>
      <c r="N77" s="40" t="str">
        <f>image("https://i.imgur.com/XzidFHI.png")</f>
        <v/>
      </c>
      <c r="O77" s="41"/>
      <c r="P77" s="40"/>
      <c r="Q77" s="41"/>
      <c r="R77" s="33"/>
    </row>
    <row r="78" ht="18.75" customHeight="1">
      <c r="A78" s="6"/>
      <c r="B78" s="8" t="s">
        <v>619</v>
      </c>
      <c r="C78" s="10" t="s">
        <v>620</v>
      </c>
      <c r="D78" s="8" t="s">
        <v>621</v>
      </c>
      <c r="E78" s="10" t="s">
        <v>622</v>
      </c>
      <c r="F78" s="8" t="s">
        <v>623</v>
      </c>
      <c r="G78" s="10" t="s">
        <v>624</v>
      </c>
      <c r="H78" s="8" t="s">
        <v>625</v>
      </c>
      <c r="I78" s="10" t="s">
        <v>626</v>
      </c>
      <c r="J78" s="8" t="s">
        <v>627</v>
      </c>
      <c r="K78" s="10" t="s">
        <v>628</v>
      </c>
      <c r="L78" s="8" t="s">
        <v>629</v>
      </c>
      <c r="M78" s="10" t="s">
        <v>630</v>
      </c>
      <c r="N78" s="8" t="s">
        <v>631</v>
      </c>
      <c r="O78" s="10" t="s">
        <v>632</v>
      </c>
      <c r="P78" s="8" t="s">
        <v>633</v>
      </c>
      <c r="Q78" s="10" t="s">
        <v>634</v>
      </c>
      <c r="R78" s="14"/>
    </row>
    <row r="79" ht="26.25" customHeight="1">
      <c r="A79" s="15"/>
      <c r="B79" s="16" t="str">
        <f>image("https://i.imgur.com/RqSOGo6.png")</f>
        <v/>
      </c>
      <c r="C79" s="20" t="str">
        <f>image("https://pokejungle.net/sprites/normal/"&amp;B78&amp;".png")</f>
        <v/>
      </c>
      <c r="D79" s="16" t="str">
        <f>image("https://i.imgur.com/XNzvO0H.png")</f>
        <v/>
      </c>
      <c r="E79" s="20" t="str">
        <f>image("https://pokejungle.net/sprites/normal/"&amp;D78&amp;".png")</f>
        <v/>
      </c>
      <c r="F79" s="16" t="str">
        <f>image("https://i.imgur.com/XzidFHI.png")</f>
        <v/>
      </c>
      <c r="G79" s="20" t="str">
        <f>image("https://pokejungle.net/sprites/normal/"&amp;F78&amp;".png")</f>
        <v/>
      </c>
      <c r="H79" s="24" t="str">
        <f>image("https://i.imgur.com/bxys1sd.png")</f>
        <v/>
      </c>
      <c r="I79" s="20" t="str">
        <f>image("https://pokejungle.net/sprites/normal/"&amp;H78&amp;".png")</f>
        <v/>
      </c>
      <c r="J79" s="16" t="str">
        <f>image("https://i.imgur.com/ef1o2lD.png")</f>
        <v/>
      </c>
      <c r="K79" s="20" t="str">
        <f>image("https://pokejungle.net/sprites/normal/"&amp;J78&amp;".png")</f>
        <v/>
      </c>
      <c r="L79" s="16" t="str">
        <f>image("https://i.imgur.com/rJhTvoD.png")</f>
        <v/>
      </c>
      <c r="M79" s="20" t="str">
        <f>image("https://pokejungle.net/sprites/normal/"&amp;L78&amp;".png")</f>
        <v/>
      </c>
      <c r="N79" s="16" t="str">
        <f>image("https://i.imgur.com/rJhTvoD.png")</f>
        <v/>
      </c>
      <c r="O79" s="20" t="str">
        <f>image("https://pokejungle.net/sprites/normal/"&amp;N78&amp;".png")</f>
        <v/>
      </c>
      <c r="P79" s="16" t="str">
        <f>image("https://i.imgur.com/XI18XGu.png")</f>
        <v/>
      </c>
      <c r="Q79" s="20" t="str">
        <f>image("https://pokejungle.net/sprites/normal/"&amp;P78&amp;".png")</f>
        <v/>
      </c>
      <c r="R79" s="33"/>
    </row>
    <row r="80" ht="26.25" customHeight="1">
      <c r="A80" s="15"/>
      <c r="B80" s="38" t="str">
        <f>image("https://i.imgur.com/rJhTvoD.png")</f>
        <v/>
      </c>
      <c r="C80" s="36"/>
      <c r="D80" s="38" t="str">
        <f>image("https://i.imgur.com/XzidFHI.png")</f>
        <v/>
      </c>
      <c r="E80" s="36"/>
      <c r="F80" s="38" t="str">
        <f>image("https://i.imgur.com/JDgAgAO.png")</f>
        <v/>
      </c>
      <c r="G80" s="36"/>
      <c r="H80" s="37" t="str">
        <f>image("https://i.imgur.com/GyNf8BH.png")</f>
        <v/>
      </c>
      <c r="I80" s="36"/>
      <c r="J80" s="38" t="str">
        <f>image("https://i.imgur.com/SF5CZ6U.png")</f>
        <v/>
      </c>
      <c r="K80" s="36"/>
      <c r="L80" s="35" t="str">
        <f>image("https://i.imgur.com/EkqYYOB.png")</f>
        <v/>
      </c>
      <c r="M80" s="36"/>
      <c r="N80" s="35" t="str">
        <f>image("https://i.imgur.com/EkqYYOB.png")</f>
        <v/>
      </c>
      <c r="O80" s="36"/>
      <c r="P80" s="38" t="str">
        <f>image("https://i.imgur.com/rAI9Gyi.png")</f>
        <v/>
      </c>
      <c r="Q80" s="36"/>
      <c r="R80" s="33"/>
    </row>
    <row r="81" ht="26.25" customHeight="1">
      <c r="A81" s="15"/>
      <c r="B81" s="40" t="str">
        <f>image("https://i.imgur.com/lKAfx6k.png")</f>
        <v/>
      </c>
      <c r="C81" s="41"/>
      <c r="D81" s="43" t="str">
        <f>image("https://i.imgur.com/JDgAgAO.png")</f>
        <v/>
      </c>
      <c r="E81" s="41"/>
      <c r="F81" s="40" t="str">
        <f>image("https://i.imgur.com/zpybKax.png")</f>
        <v/>
      </c>
      <c r="G81" s="41"/>
      <c r="H81" s="40"/>
      <c r="I81" s="41"/>
      <c r="J81" s="40" t="str">
        <f>image("https://i.imgur.com/GyNf8BH.png")</f>
        <v/>
      </c>
      <c r="K81" s="41"/>
      <c r="L81" s="40" t="str">
        <f>image("https://i.imgur.com/JOd7Boe.png")</f>
        <v/>
      </c>
      <c r="M81" s="41"/>
      <c r="N81" s="40" t="str">
        <f>image("https://i.imgur.com/JOd7Boe.png")</f>
        <v/>
      </c>
      <c r="O81" s="41"/>
      <c r="P81" s="40"/>
      <c r="Q81" s="41"/>
      <c r="R81" s="33"/>
    </row>
    <row r="82" ht="26.25" customHeight="1">
      <c r="A82" s="15"/>
      <c r="B82" s="16" t="str">
        <f>image("https://i.imgur.com/rJhTvoD.png")</f>
        <v/>
      </c>
      <c r="C82" s="20" t="str">
        <f>image("https://pokejungle.net/sprites/shiny/"&amp;B78&amp;".png")</f>
        <v/>
      </c>
      <c r="D82" s="16" t="str">
        <f>image("https://i.imgur.com/beHgI95.png")</f>
        <v/>
      </c>
      <c r="E82" s="20" t="str">
        <f>image("https://pokejungle.net/sprites/shiny/"&amp;D78&amp;".png")</f>
        <v/>
      </c>
      <c r="F82" s="16" t="str">
        <f>image("https://i.imgur.com/XzidFHI.png")</f>
        <v/>
      </c>
      <c r="G82" s="20" t="str">
        <f>image("https://pokejungle.net/sprites/shiny/"&amp;F78&amp;".png")</f>
        <v/>
      </c>
      <c r="H82" s="16" t="str">
        <f>image("https://i.imgur.com/a9HBljD.png")</f>
        <v/>
      </c>
      <c r="I82" s="20" t="str">
        <f>image("https://pokejungle.net/sprites/shiny/"&amp;H78&amp;".png")</f>
        <v/>
      </c>
      <c r="J82" s="16" t="str">
        <f>image("https://i.imgur.com/RqSOGo6.png")</f>
        <v/>
      </c>
      <c r="K82" s="20" t="str">
        <f>image("https://pokejungle.net/sprites/shiny/"&amp;J78&amp;".png")</f>
        <v/>
      </c>
      <c r="L82" s="16" t="str">
        <f>image("https://i.imgur.com/XIu6jDl.png")</f>
        <v/>
      </c>
      <c r="M82" s="20" t="str">
        <f>image("https://pokejungle.net/sprites/shiny/"&amp;L78&amp;".png")</f>
        <v/>
      </c>
      <c r="N82" s="16" t="str">
        <f>image("https://i.imgur.com/beHgI95.png")</f>
        <v/>
      </c>
      <c r="O82" s="20" t="str">
        <f>image("https://pokejungle.net/sprites/shiny/"&amp;N78&amp;".png")</f>
        <v/>
      </c>
      <c r="P82" s="16" t="str">
        <f>image("https://i.imgur.com/XIu6jDl.png")</f>
        <v/>
      </c>
      <c r="Q82" s="20" t="str">
        <f>image("https://pokejungle.net/sprites/shiny/"&amp;P78&amp;".png")</f>
        <v/>
      </c>
      <c r="R82" s="33"/>
    </row>
    <row r="83" ht="26.25" customHeight="1">
      <c r="A83" s="15"/>
      <c r="B83" s="38" t="str">
        <f>image("https://i.imgur.com/RqSOGo6.png")</f>
        <v/>
      </c>
      <c r="C83" s="36"/>
      <c r="D83" s="38" t="str">
        <f>image("https://i.imgur.com/rJhTvoD.png")</f>
        <v/>
      </c>
      <c r="E83" s="36"/>
      <c r="F83" s="35" t="str">
        <f>image("https://i.imgur.com/ef1o2lD.png")</f>
        <v/>
      </c>
      <c r="G83" s="36"/>
      <c r="H83" s="38" t="str">
        <f>image("https://i.imgur.com/XI18XGu.png")</f>
        <v/>
      </c>
      <c r="I83" s="36"/>
      <c r="J83" s="38" t="str">
        <f>image("https://i.imgur.com/rJhTvoD.png")</f>
        <v/>
      </c>
      <c r="K83" s="36"/>
      <c r="L83" s="38" t="str">
        <f>image("https://i.imgur.com/VQL4lPa.png")</f>
        <v/>
      </c>
      <c r="M83" s="36"/>
      <c r="N83" s="38" t="str">
        <f>image("https://i.imgur.com/EkqYYOB.png")</f>
        <v/>
      </c>
      <c r="O83" s="36"/>
      <c r="P83" s="38" t="str">
        <f>image("https://i.imgur.com/VQL4lPa.png")</f>
        <v/>
      </c>
      <c r="Q83" s="36"/>
      <c r="R83" s="33"/>
    </row>
    <row r="84" ht="26.25" customHeight="1">
      <c r="A84" s="15"/>
      <c r="B84" s="40" t="str">
        <f>image("https://i.imgur.com/lKAfx6k.png")</f>
        <v/>
      </c>
      <c r="C84" s="41"/>
      <c r="D84" s="43" t="str">
        <f>image("https://i.imgur.com/JDgAgAO.png")</f>
        <v/>
      </c>
      <c r="E84" s="41"/>
      <c r="F84" s="43" t="str">
        <f>image("https://i.imgur.com/SF5CZ6U.png")</f>
        <v/>
      </c>
      <c r="G84" s="41"/>
      <c r="H84" s="40" t="str">
        <f>image("https://i.imgur.com/bxys1sd.png")</f>
        <v/>
      </c>
      <c r="I84" s="41"/>
      <c r="J84" s="40" t="str">
        <f>image("https://i.imgur.com/JOd7Boe.png")</f>
        <v/>
      </c>
      <c r="K84" s="41"/>
      <c r="L84" s="43" t="str">
        <f>image("https://i.imgur.com/JDgAgAO.png")</f>
        <v/>
      </c>
      <c r="M84" s="41"/>
      <c r="N84" s="43" t="str">
        <f>image("https://i.imgur.com/JDgAgAO.png")</f>
        <v/>
      </c>
      <c r="O84" s="41"/>
      <c r="P84" s="40" t="str">
        <f>image("https://i.imgur.com/N2Wqr43.png")</f>
        <v/>
      </c>
      <c r="Q84" s="41"/>
      <c r="R84" s="33"/>
    </row>
    <row r="85" ht="18.75" customHeight="1">
      <c r="A85" s="6"/>
      <c r="B85" s="8" t="s">
        <v>650</v>
      </c>
      <c r="C85" s="10" t="s">
        <v>651</v>
      </c>
      <c r="D85" s="8" t="s">
        <v>652</v>
      </c>
      <c r="E85" s="10" t="s">
        <v>653</v>
      </c>
      <c r="F85" s="8" t="s">
        <v>654</v>
      </c>
      <c r="G85" s="10" t="s">
        <v>655</v>
      </c>
      <c r="H85" s="8" t="s">
        <v>656</v>
      </c>
      <c r="I85" s="10" t="s">
        <v>657</v>
      </c>
      <c r="J85" s="8" t="s">
        <v>658</v>
      </c>
      <c r="K85" s="10" t="s">
        <v>659</v>
      </c>
      <c r="L85" s="8" t="s">
        <v>660</v>
      </c>
      <c r="M85" s="10" t="s">
        <v>661</v>
      </c>
      <c r="N85" s="8" t="s">
        <v>663</v>
      </c>
      <c r="O85" s="10" t="s">
        <v>664</v>
      </c>
      <c r="P85" s="8" t="s">
        <v>666</v>
      </c>
      <c r="Q85" s="10" t="s">
        <v>668</v>
      </c>
      <c r="R85" s="14"/>
    </row>
    <row r="86" ht="26.25" customHeight="1">
      <c r="A86" s="15"/>
      <c r="B86" s="16" t="str">
        <f>image("https://i.imgur.com/XIu6jDl.png")</f>
        <v/>
      </c>
      <c r="C86" s="20" t="str">
        <f>image("https://pokejungle.net/sprites/normal/"&amp;B85&amp;".png")</f>
        <v/>
      </c>
      <c r="D86" s="16" t="str">
        <f>image("https://i.imgur.com/JOd7Boe.png")</f>
        <v/>
      </c>
      <c r="E86" s="20" t="str">
        <f>image("https://pokejungle.net/sprites/normal/"&amp;D85&amp;".png")</f>
        <v/>
      </c>
      <c r="F86" s="16" t="str">
        <f>image("https://i.imgur.com/zpybKax.png")</f>
        <v/>
      </c>
      <c r="G86" s="20" t="str">
        <f>image("https://pokejungle.net/sprites/normal/"&amp;F85&amp;".png")</f>
        <v/>
      </c>
      <c r="H86" s="24" t="str">
        <f>image("https://i.imgur.com/XzidFHI.png")</f>
        <v/>
      </c>
      <c r="I86" s="20" t="str">
        <f>image("https://pokejungle.net/sprites/normal/"&amp;H85&amp;".png")</f>
        <v/>
      </c>
      <c r="J86" s="16" t="str">
        <f>image("https://i.imgur.com/ef1o2lD.png")</f>
        <v/>
      </c>
      <c r="K86" s="20" t="str">
        <f>image("https://pokejungle.net/sprites/normal/"&amp;J85&amp;"-f.png")</f>
        <v/>
      </c>
      <c r="L86" s="28" t="str">
        <f>image("https://i.imgur.com/0ArMZjJ.png")</f>
        <v/>
      </c>
      <c r="M86" s="20" t="str">
        <f>image("https://pokejungle.net/sprites/normal/"&amp;L85&amp;".png")</f>
        <v/>
      </c>
      <c r="N86" s="16" t="str">
        <f>image("https://i.imgur.com/lpOVjtL.png")</f>
        <v/>
      </c>
      <c r="O86" s="20" t="str">
        <f>image("https://pokejungle.net/sprites/normal/"&amp;N85&amp;".png")</f>
        <v/>
      </c>
      <c r="P86" s="16" t="str">
        <f>image("https://i.imgur.com/JDgAgAO.png")</f>
        <v/>
      </c>
      <c r="Q86" s="20" t="str">
        <f>image("https://pokejungle.net/sprites/normal/"&amp;P85&amp;".png")</f>
        <v/>
      </c>
      <c r="R86" s="33"/>
    </row>
    <row r="87" ht="26.25" customHeight="1">
      <c r="A87" s="15"/>
      <c r="B87" s="38" t="str">
        <f>image("https://i.imgur.com/VQL4lPa.png")</f>
        <v/>
      </c>
      <c r="C87" s="36"/>
      <c r="D87" s="37" t="str">
        <f>image("https://i.imgur.com/GyNf8BH.png")</f>
        <v/>
      </c>
      <c r="E87" s="36"/>
      <c r="F87" s="35" t="str">
        <f>image("https://i.imgur.com/ef1o2lD.png")</f>
        <v/>
      </c>
      <c r="G87" s="36"/>
      <c r="H87" s="37" t="str">
        <f>image("https://i.imgur.com/rAI9Gyi.png")</f>
        <v/>
      </c>
      <c r="I87" s="36"/>
      <c r="J87" s="38" t="str">
        <f>image("https://i.imgur.com/SF5CZ6U.png")</f>
        <v/>
      </c>
      <c r="K87" s="36"/>
      <c r="L87" s="46" t="str">
        <f>image("https://i.imgur.com/XNzvO0H.png")</f>
        <v/>
      </c>
      <c r="M87" s="36"/>
      <c r="N87" s="38" t="str">
        <f>image("https://i.imgur.com/VQL4lPa.png")</f>
        <v/>
      </c>
      <c r="O87" s="36"/>
      <c r="P87" s="38" t="str">
        <f>image("https://i.imgur.com/N2Wqr43.png")</f>
        <v/>
      </c>
      <c r="Q87" s="36"/>
      <c r="R87" s="33"/>
    </row>
    <row r="88" ht="26.25" customHeight="1">
      <c r="A88" s="15"/>
      <c r="B88" s="40" t="str">
        <f>image("https://i.imgur.com/N2Wqr43.png")</f>
        <v/>
      </c>
      <c r="C88" s="41"/>
      <c r="D88" s="40" t="str">
        <f>image("https://i.imgur.com/bxys1sd.png")</f>
        <v/>
      </c>
      <c r="E88" s="41"/>
      <c r="F88" s="40" t="str">
        <f>image("https://i.imgur.com/XzidFHI.png")</f>
        <v/>
      </c>
      <c r="G88" s="41"/>
      <c r="H88" s="43" t="str">
        <f>image("https://i.imgur.com/JDgAgAO.png")</f>
        <v/>
      </c>
      <c r="I88" s="41"/>
      <c r="J88" s="43" t="str">
        <f>image("https://i.imgur.com/JDgAgAO.png")</f>
        <v/>
      </c>
      <c r="K88" s="41"/>
      <c r="L88" s="43"/>
      <c r="M88" s="41"/>
      <c r="N88" s="40" t="str">
        <f>image("https://i.imgur.com/XIu6jDl.png")</f>
        <v/>
      </c>
      <c r="O88" s="41"/>
      <c r="P88" s="40" t="str">
        <f>image("https://i.imgur.com/zpybKax.png")</f>
        <v/>
      </c>
      <c r="Q88" s="41"/>
      <c r="R88" s="33"/>
    </row>
    <row r="89" ht="26.25" customHeight="1">
      <c r="A89" s="15"/>
      <c r="B89" s="16" t="str">
        <f>image("https://i.imgur.com/a9HBljD.png")</f>
        <v/>
      </c>
      <c r="C89" s="20" t="str">
        <f>image("https://pokejungle.net/sprites/shiny/"&amp;B85&amp;".png")</f>
        <v/>
      </c>
      <c r="D89" s="16" t="str">
        <f>image("https://i.imgur.com/rJhTvoD.png")</f>
        <v/>
      </c>
      <c r="E89" s="20" t="str">
        <f>image("https://pokejungle.net/sprites/shiny/"&amp;D85&amp;".png")</f>
        <v/>
      </c>
      <c r="F89" s="16" t="str">
        <f>image("https://i.imgur.com/rJhTvoD.png")</f>
        <v/>
      </c>
      <c r="G89" s="20" t="str">
        <f>image("https://pokejungle.net/sprites/shiny/"&amp;F85&amp;".png")</f>
        <v/>
      </c>
      <c r="H89" s="16" t="str">
        <f>image("https://i.imgur.com/XI18XGu.png")</f>
        <v/>
      </c>
      <c r="I89" s="20" t="str">
        <f>image("https://pokejungle.net/sprites/shiny/"&amp;H85&amp;".png")</f>
        <v/>
      </c>
      <c r="J89" s="16" t="str">
        <f>image("https://i.imgur.com/rJhTvoD.png")</f>
        <v/>
      </c>
      <c r="K89" s="20" t="str">
        <f>image("https://pokejungle.net/sprites/shiny/"&amp;J85&amp;".png")</f>
        <v/>
      </c>
      <c r="L89" s="16" t="str">
        <f>image("https://i.imgur.com/rAI9Gyi.png")</f>
        <v/>
      </c>
      <c r="M89" s="20" t="str">
        <f>image("https://pokejungle.net/sprites/shiny/"&amp;L85&amp;".png")</f>
        <v/>
      </c>
      <c r="N89" s="16" t="str">
        <f>image("https://i.imgur.com/lpOVjtL.png")</f>
        <v/>
      </c>
      <c r="O89" s="20" t="str">
        <f>image("https://pokejungle.net/sprites/shiny/"&amp;N85&amp;".png")</f>
        <v/>
      </c>
      <c r="P89" s="16" t="str">
        <f>image("https://i.imgur.com/JDgAgAO.png")</f>
        <v/>
      </c>
      <c r="Q89" s="20" t="str">
        <f>image("https://pokejungle.net/sprites/shiny/"&amp;P85&amp;".png")</f>
        <v/>
      </c>
      <c r="R89" s="33"/>
    </row>
    <row r="90" ht="26.25" customHeight="1">
      <c r="A90" s="15"/>
      <c r="B90" s="38" t="str">
        <f>image("https://i.imgur.com/rAI9Gyi.png")</f>
        <v/>
      </c>
      <c r="C90" s="36"/>
      <c r="D90" s="46" t="str">
        <f>image("https://i.imgur.com/RqSOGo6.png")</f>
        <v/>
      </c>
      <c r="E90" s="36"/>
      <c r="F90" s="35" t="str">
        <f>image("https://i.imgur.com/RqSOGo6.png")</f>
        <v/>
      </c>
      <c r="G90" s="36"/>
      <c r="H90" s="38" t="str">
        <f>image("https://i.imgur.com/rAI9Gyi.png")</f>
        <v/>
      </c>
      <c r="I90" s="36"/>
      <c r="J90" s="38" t="str">
        <f>image("https://i.imgur.com/rAI9Gyi.png")</f>
        <v/>
      </c>
      <c r="K90" s="36"/>
      <c r="L90" s="46" t="str">
        <f>image("https://i.imgur.com/0ArMZjJ.png")</f>
        <v/>
      </c>
      <c r="M90" s="36"/>
      <c r="N90" s="38" t="str">
        <f>image("https://i.imgur.com/JDgAgAO.png")</f>
        <v/>
      </c>
      <c r="O90" s="36"/>
      <c r="P90" s="38" t="str">
        <f>image("https://i.imgur.com/N2Wqr43.png")</f>
        <v/>
      </c>
      <c r="Q90" s="36"/>
      <c r="R90" s="33"/>
    </row>
    <row r="91" ht="26.25" customHeight="1">
      <c r="A91" s="15"/>
      <c r="B91" s="40"/>
      <c r="C91" s="41"/>
      <c r="D91" s="40" t="str">
        <f>image("https://i.imgur.com/GyNf8BH.png")</f>
        <v/>
      </c>
      <c r="E91" s="41"/>
      <c r="F91" s="40" t="str">
        <f>image("https://i.imgur.com/GyNf8BH.png")</f>
        <v/>
      </c>
      <c r="G91" s="41"/>
      <c r="H91" s="43" t="str">
        <f>image("https://i.imgur.com/nNTmuH8.png")</f>
        <v/>
      </c>
      <c r="I91" s="41"/>
      <c r="J91" s="40" t="str">
        <f>image("https://i.imgur.com/ef1o2lD.png")</f>
        <v/>
      </c>
      <c r="K91" s="41"/>
      <c r="L91" s="40" t="str">
        <f>image("https://i.imgur.com/XI18XGu.png")</f>
        <v/>
      </c>
      <c r="M91" s="41"/>
      <c r="N91" s="40" t="str">
        <f>image("https://i.imgur.com/XIu6jDl.png")</f>
        <v/>
      </c>
      <c r="O91" s="41"/>
      <c r="P91" s="40" t="str">
        <f>image("https://i.imgur.com/zpybKax.png")</f>
        <v/>
      </c>
      <c r="Q91" s="41"/>
      <c r="R91" s="33"/>
    </row>
    <row r="92" ht="18.75" customHeight="1">
      <c r="A92" s="6"/>
      <c r="B92" s="8" t="s">
        <v>710</v>
      </c>
      <c r="C92" s="10" t="s">
        <v>711</v>
      </c>
      <c r="D92" s="8" t="s">
        <v>712</v>
      </c>
      <c r="E92" s="10" t="s">
        <v>713</v>
      </c>
      <c r="F92" s="8" t="s">
        <v>714</v>
      </c>
      <c r="G92" s="10" t="s">
        <v>715</v>
      </c>
      <c r="H92" s="8" t="s">
        <v>716</v>
      </c>
      <c r="I92" s="10" t="s">
        <v>717</v>
      </c>
      <c r="J92" s="8" t="s">
        <v>718</v>
      </c>
      <c r="K92" s="10" t="s">
        <v>719</v>
      </c>
      <c r="L92" s="8" t="s">
        <v>720</v>
      </c>
      <c r="M92" s="10" t="s">
        <v>721</v>
      </c>
      <c r="N92" s="8" t="s">
        <v>722</v>
      </c>
      <c r="O92" s="10" t="s">
        <v>723</v>
      </c>
      <c r="P92" s="8" t="s">
        <v>724</v>
      </c>
      <c r="Q92" s="10" t="s">
        <v>725</v>
      </c>
      <c r="R92" s="14"/>
    </row>
    <row r="93" ht="26.25" customHeight="1">
      <c r="A93" s="15"/>
      <c r="B93" s="16" t="str">
        <f>image("https://i.imgur.com/EkqYYOB.png")</f>
        <v/>
      </c>
      <c r="C93" s="20" t="str">
        <f>image("https://pokejungle.net/sprites/normal/"&amp;B92&amp;".png")</f>
        <v/>
      </c>
      <c r="D93" s="28" t="str">
        <f>image("https://i.imgur.com/JOd7Boe.png")</f>
        <v/>
      </c>
      <c r="E93" s="20" t="str">
        <f>image("https://pokejungle.net/sprites/normal/"&amp;D92&amp;".png")</f>
        <v/>
      </c>
      <c r="F93" s="28" t="str">
        <f>image("https://i.imgur.com/JOd7Boe.png")</f>
        <v/>
      </c>
      <c r="G93" s="20" t="str">
        <f>image("https://pokejungle.net/sprites/normal/"&amp;F92&amp;".png")</f>
        <v/>
      </c>
      <c r="H93" s="16" t="str">
        <f>image("https://i.imgur.com/lpOVjtL.png")</f>
        <v/>
      </c>
      <c r="I93" s="20" t="str">
        <f>image("https://pokejungle.net/sprites/normal/"&amp;H92&amp;".png")</f>
        <v/>
      </c>
      <c r="J93" s="16" t="str">
        <f>image("https://i.imgur.com/0ArMZjJ.png")</f>
        <v/>
      </c>
      <c r="K93" s="20" t="str">
        <f>image("https://pokejungle.net/sprites/normal/"&amp;J92&amp;".png")</f>
        <v/>
      </c>
      <c r="L93" s="28" t="str">
        <f>image("https://i.imgur.com/JOd7Boe.png")</f>
        <v/>
      </c>
      <c r="M93" s="20" t="str">
        <f>image("https://pokejungle.net/sprites/normal/"&amp;L92&amp;".png")</f>
        <v/>
      </c>
      <c r="N93" s="16" t="str">
        <f>image("https://i.imgur.com/XzidFHI.png")</f>
        <v/>
      </c>
      <c r="O93" s="20" t="str">
        <f>image("https://pokejungle.net/sprites/normal/"&amp;N92&amp;".png")</f>
        <v/>
      </c>
      <c r="P93" s="16" t="str">
        <f>image("https://i.imgur.com/rJhTvoD.png")</f>
        <v/>
      </c>
      <c r="Q93" s="20" t="str">
        <f>image("https://pokejungle.net/sprites/normal/"&amp;P92&amp;".png")</f>
        <v/>
      </c>
      <c r="R93" s="33"/>
    </row>
    <row r="94" ht="26.25" customHeight="1">
      <c r="A94" s="15"/>
      <c r="B94" s="38" t="str">
        <f>image("https://i.imgur.com/rJhTvoD.png")</f>
        <v/>
      </c>
      <c r="C94" s="36"/>
      <c r="D94" s="46" t="str">
        <f>image("https://i.imgur.com/NkILW1J.png")</f>
        <v/>
      </c>
      <c r="E94" s="36"/>
      <c r="F94" s="46" t="str">
        <f>image("https://i.imgur.com/NkILW1J.png")</f>
        <v/>
      </c>
      <c r="G94" s="36"/>
      <c r="H94" s="38" t="str">
        <f>image("https://i.imgur.com/XIu6jDl.png")</f>
        <v/>
      </c>
      <c r="I94" s="36"/>
      <c r="J94" s="38" t="str">
        <f>image("https://i.imgur.com/rJhTvoD.png")</f>
        <v/>
      </c>
      <c r="K94" s="36"/>
      <c r="L94" s="35" t="str">
        <f>image("https://i.imgur.com/JDgAgAO.png")</f>
        <v/>
      </c>
      <c r="M94" s="36"/>
      <c r="N94" s="38" t="str">
        <f>image("https://i.imgur.com/SF5CZ6U.png")</f>
        <v/>
      </c>
      <c r="O94" s="36"/>
      <c r="P94" s="38" t="str">
        <f>image("https://i.imgur.com/beHgI95.png")</f>
        <v/>
      </c>
      <c r="Q94" s="36"/>
      <c r="R94" s="33"/>
    </row>
    <row r="95" ht="26.25" customHeight="1">
      <c r="A95" s="15"/>
      <c r="B95" s="40" t="str">
        <f>image("https://i.imgur.com/N2Wqr43.png")</f>
        <v/>
      </c>
      <c r="C95" s="41"/>
      <c r="D95" s="40" t="str">
        <f>image("https://i.imgur.com/N2Wqr43.png")</f>
        <v/>
      </c>
      <c r="E95" s="41"/>
      <c r="F95" s="40" t="str">
        <f>image("https://i.imgur.com/N2Wqr43.png")</f>
        <v/>
      </c>
      <c r="G95" s="41"/>
      <c r="H95" s="43" t="str">
        <f>image("https://i.imgur.com/VQL4lPa.png")</f>
        <v/>
      </c>
      <c r="I95" s="41"/>
      <c r="J95" s="40" t="str">
        <f>image("https://i.imgur.com/GyNf8BH.png")</f>
        <v/>
      </c>
      <c r="K95" s="41"/>
      <c r="L95" s="43" t="str">
        <f>image("https://i.imgur.com/SF5CZ6U.png")</f>
        <v/>
      </c>
      <c r="M95" s="41"/>
      <c r="N95" s="40" t="str">
        <f>image("https://i.imgur.com/JDgAgAO.png")</f>
        <v/>
      </c>
      <c r="O95" s="41"/>
      <c r="P95" s="40" t="str">
        <f>image("https://i.imgur.com/RqSOGo6.png")</f>
        <v/>
      </c>
      <c r="Q95" s="41"/>
      <c r="R95" s="33"/>
    </row>
    <row r="96" ht="26.25" customHeight="1">
      <c r="A96" s="15"/>
      <c r="B96" s="16" t="str">
        <f>image("https://i.imgur.com/JDgAgAO.png")</f>
        <v/>
      </c>
      <c r="C96" s="20" t="str">
        <f>image("https://pokejungle.net/sprites/shiny/"&amp;B92&amp;".png")</f>
        <v/>
      </c>
      <c r="D96" s="16" t="str">
        <f>image("https://i.imgur.com/GyNf8BH.png")</f>
        <v/>
      </c>
      <c r="E96" s="20" t="str">
        <f>image("https://pokejungle.net/sprites/shiny/"&amp;D92&amp;".png")</f>
        <v/>
      </c>
      <c r="F96" s="16" t="str">
        <f>image("https://i.imgur.com/GyNf8BH.png")</f>
        <v/>
      </c>
      <c r="G96" s="20" t="str">
        <f>image("https://pokejungle.net/sprites/shiny/"&amp;F92&amp;".png")</f>
        <v/>
      </c>
      <c r="H96" s="16" t="str">
        <f>image("https://i.imgur.com/lpOVjtL.png")</f>
        <v/>
      </c>
      <c r="I96" s="20" t="str">
        <f>image("https://pokejungle.net/sprites/shiny/"&amp;H92&amp;".png")</f>
        <v/>
      </c>
      <c r="J96" s="16" t="str">
        <f>image("https://i.imgur.com/rJhTvoD.png")</f>
        <v/>
      </c>
      <c r="K96" s="20" t="str">
        <f>image("https://pokejungle.net/sprites/shiny/"&amp;J92&amp;".png")</f>
        <v/>
      </c>
      <c r="L96" s="16" t="str">
        <f>image("https://i.imgur.com/0ArMZjJ.png")</f>
        <v/>
      </c>
      <c r="M96" s="20" t="str">
        <f>image("https://pokejungle.net/sprites/shiny/"&amp;L92&amp;".png")</f>
        <v/>
      </c>
      <c r="N96" s="16" t="str">
        <f>image("https://i.imgur.com/a9HBljD.png")</f>
        <v/>
      </c>
      <c r="O96" s="20" t="str">
        <f>image("https://pokejungle.net/sprites/shiny/"&amp;N92&amp;".png")</f>
        <v/>
      </c>
      <c r="P96" s="16" t="str">
        <f>image("https://i.imgur.com/JDgAgAO.png")</f>
        <v/>
      </c>
      <c r="Q96" s="20" t="str">
        <f>image("https://pokejungle.net/sprites/shiny/"&amp;P92&amp;".png")</f>
        <v/>
      </c>
      <c r="R96" s="33"/>
    </row>
    <row r="97" ht="26.25" customHeight="1">
      <c r="A97" s="15"/>
      <c r="B97" s="38" t="str">
        <f>image("https://i.imgur.com/rJhTvoD.png")</f>
        <v/>
      </c>
      <c r="C97" s="36"/>
      <c r="D97" s="35" t="str">
        <f>image("https://i.imgur.com/JOd7Boe.png")</f>
        <v/>
      </c>
      <c r="E97" s="36"/>
      <c r="F97" s="35" t="str">
        <f>image("https://i.imgur.com/JOd7Boe.png")</f>
        <v/>
      </c>
      <c r="G97" s="36"/>
      <c r="H97" s="38" t="str">
        <f>image("https://i.imgur.com/XIu6jDl.png")</f>
        <v/>
      </c>
      <c r="I97" s="36"/>
      <c r="J97" s="38" t="str">
        <f>image("https://i.imgur.com/zpybKax.png")</f>
        <v/>
      </c>
      <c r="K97" s="36"/>
      <c r="L97" s="35" t="str">
        <f>image("https://i.imgur.com/JOd7Boe.png")</f>
        <v/>
      </c>
      <c r="M97" s="36"/>
      <c r="N97" s="38" t="str">
        <f>image("https://i.imgur.com/rAI9Gyi.png")</f>
        <v/>
      </c>
      <c r="O97" s="36"/>
      <c r="P97" s="38" t="str">
        <f>image("https://i.imgur.com/zpybKax.png")</f>
        <v/>
      </c>
      <c r="Q97" s="36"/>
      <c r="R97" s="33"/>
    </row>
    <row r="98" ht="26.25" customHeight="1">
      <c r="A98" s="15"/>
      <c r="B98" s="40" t="str">
        <f>image("https://i.imgur.com/N2Wqr43.png")</f>
        <v/>
      </c>
      <c r="C98" s="41"/>
      <c r="D98" s="43" t="str">
        <f>image("https://i.imgur.com/N2Wqr43.png")</f>
        <v/>
      </c>
      <c r="E98" s="41"/>
      <c r="F98" s="40" t="str">
        <f>image("https://i.imgur.com/N2Wqr43.png")</f>
        <v/>
      </c>
      <c r="G98" s="41"/>
      <c r="H98" s="43" t="str">
        <f>image("https://i.imgur.com/VQL4lPa.png")</f>
        <v/>
      </c>
      <c r="I98" s="41"/>
      <c r="J98" s="43" t="str">
        <f>image("https://i.imgur.com/eru43o1.png")</f>
        <v/>
      </c>
      <c r="K98" s="41"/>
      <c r="L98" s="40" t="str">
        <f>image("https://i.imgur.com/bxys1sd.png")</f>
        <v/>
      </c>
      <c r="M98" s="41"/>
      <c r="N98" s="40" t="str">
        <f>image("https://i.imgur.com/XI18XGu.png")</f>
        <v/>
      </c>
      <c r="O98" s="41"/>
      <c r="P98" s="43" t="str">
        <f>image("https://i.imgur.com/eru43o1.png")</f>
        <v/>
      </c>
      <c r="Q98" s="41"/>
      <c r="R98" s="33"/>
    </row>
    <row r="99" ht="18.75" customHeight="1">
      <c r="A99" s="6"/>
      <c r="B99" s="8" t="s">
        <v>785</v>
      </c>
      <c r="C99" s="10" t="s">
        <v>786</v>
      </c>
      <c r="D99" s="8" t="s">
        <v>787</v>
      </c>
      <c r="E99" s="10" t="s">
        <v>788</v>
      </c>
      <c r="F99" s="8" t="s">
        <v>789</v>
      </c>
      <c r="G99" s="10" t="s">
        <v>790</v>
      </c>
      <c r="H99" s="8" t="s">
        <v>791</v>
      </c>
      <c r="I99" s="10" t="s">
        <v>792</v>
      </c>
      <c r="J99" s="8" t="s">
        <v>793</v>
      </c>
      <c r="K99" s="10" t="s">
        <v>794</v>
      </c>
      <c r="L99" s="8" t="s">
        <v>795</v>
      </c>
      <c r="M99" s="10" t="s">
        <v>796</v>
      </c>
      <c r="N99" s="8" t="s">
        <v>797</v>
      </c>
      <c r="O99" s="10" t="s">
        <v>798</v>
      </c>
      <c r="P99" s="8" t="s">
        <v>799</v>
      </c>
      <c r="Q99" s="10" t="s">
        <v>800</v>
      </c>
      <c r="R99" s="14"/>
    </row>
    <row r="100" ht="26.25" customHeight="1">
      <c r="A100" s="15"/>
      <c r="B100" s="16" t="str">
        <f>image("https://i.imgur.com/XNzvO0H.png")</f>
        <v/>
      </c>
      <c r="C100" s="20" t="str">
        <f>image("https://pokejungle.net/sprites/normal/"&amp;B99&amp;".png")</f>
        <v/>
      </c>
      <c r="D100" s="16" t="str">
        <f>image("https://i.imgur.com/XNzvO0H.png")</f>
        <v/>
      </c>
      <c r="E100" s="20" t="str">
        <f>image("https://pokejungle.net/sprites/normal/"&amp;D99&amp;".png")</f>
        <v/>
      </c>
      <c r="F100" s="16" t="str">
        <f>image("https://i.imgur.com/XNzvO0H.png")</f>
        <v/>
      </c>
      <c r="G100" s="20" t="str">
        <f>image("https://pokejungle.net/sprites/normal/"&amp;F99&amp;".png")</f>
        <v/>
      </c>
      <c r="H100" s="24" t="str">
        <f>image("https://i.imgur.com/XNzvO0H.png")</f>
        <v/>
      </c>
      <c r="I100" s="20" t="str">
        <f>image("https://pokejungle.net/sprites/normal/"&amp;H99&amp;".png")</f>
        <v/>
      </c>
      <c r="J100" s="16" t="str">
        <f>image("https://i.imgur.com/XNzvO0H.png")</f>
        <v/>
      </c>
      <c r="K100" s="20" t="str">
        <f>image("https://pokejungle.net/sprites/normal/"&amp;J99&amp;".png")</f>
        <v/>
      </c>
      <c r="L100" s="28" t="str">
        <f>image("https://i.imgur.com/XNzvO0H.png")</f>
        <v/>
      </c>
      <c r="M100" s="20" t="str">
        <f>image("https://pokejungle.net/sprites/normal/"&amp;L99&amp;".png")</f>
        <v/>
      </c>
      <c r="N100" s="16" t="str">
        <f>image("https://i.imgur.com/XI18XGu.png")</f>
        <v/>
      </c>
      <c r="O100" s="20" t="str">
        <f>image("https://pokejungle.net/sprites/normal/"&amp;N99&amp;".png")</f>
        <v/>
      </c>
      <c r="P100" s="16" t="str">
        <f>image("https://i.imgur.com/JOd7Boe.png")</f>
        <v/>
      </c>
      <c r="Q100" s="20" t="str">
        <f>image("https://pokejungle.net/sprites/normal/"&amp;P99&amp;".png")</f>
        <v/>
      </c>
      <c r="R100" s="33"/>
    </row>
    <row r="101" ht="26.25" customHeight="1">
      <c r="A101" s="15"/>
      <c r="B101" s="38" t="str">
        <f>image("https://i.imgur.com/JDgAgAO.png")</f>
        <v/>
      </c>
      <c r="C101" s="36"/>
      <c r="D101" s="38" t="str">
        <f>image("https://i.imgur.com/JDgAgAO.png")</f>
        <v/>
      </c>
      <c r="E101" s="36"/>
      <c r="F101" s="38" t="str">
        <f>image("https://i.imgur.com/JDgAgAO.png")</f>
        <v/>
      </c>
      <c r="G101" s="36"/>
      <c r="H101" s="38" t="str">
        <f>image("https://i.imgur.com/JDgAgAO.png")</f>
        <v/>
      </c>
      <c r="I101" s="36"/>
      <c r="J101" s="38" t="str">
        <f>image("https://i.imgur.com/rAI9Gyi.png")</f>
        <v/>
      </c>
      <c r="K101" s="36"/>
      <c r="L101" s="35" t="str">
        <f>image("https://i.imgur.com/ef1o2lD.png")</f>
        <v/>
      </c>
      <c r="M101" s="36"/>
      <c r="N101" s="38" t="str">
        <f>image("https://i.imgur.com/a9HBljD.png")</f>
        <v/>
      </c>
      <c r="O101" s="36"/>
      <c r="P101" s="38" t="str">
        <f>image("https://i.imgur.com/lpOVjtL.png")</f>
        <v/>
      </c>
      <c r="Q101" s="36"/>
      <c r="R101" s="33"/>
    </row>
    <row r="102" ht="26.25" customHeight="1">
      <c r="A102" s="15"/>
      <c r="B102" s="40" t="str">
        <f>image("https://i.imgur.com/XzidFHI.png")</f>
        <v/>
      </c>
      <c r="C102" s="41"/>
      <c r="D102" s="43" t="str">
        <f>image("https://i.imgur.com/eru43o1.png")</f>
        <v/>
      </c>
      <c r="E102" s="41"/>
      <c r="F102" s="43" t="str">
        <f>image("https://i.imgur.com/eru43o1.png")</f>
        <v/>
      </c>
      <c r="G102" s="41"/>
      <c r="H102" s="43" t="str">
        <f>image("https://i.imgur.com/eru43o1.png")</f>
        <v/>
      </c>
      <c r="I102" s="41"/>
      <c r="J102" s="40"/>
      <c r="K102" s="41"/>
      <c r="L102" s="43"/>
      <c r="M102" s="41"/>
      <c r="N102" s="40" t="str">
        <f t="shared" ref="N102:N103" si="4">image("https://i.imgur.com/rAI9Gyi.png")</f>
        <v/>
      </c>
      <c r="O102" s="41"/>
      <c r="P102" s="40"/>
      <c r="Q102" s="41"/>
      <c r="R102" s="33"/>
    </row>
    <row r="103" ht="26.25" customHeight="1">
      <c r="A103" s="15"/>
      <c r="B103" s="16" t="str">
        <f>image("https://i.imgur.com/JOd7Boe.png")</f>
        <v/>
      </c>
      <c r="C103" s="20" t="str">
        <f>image("https://pokejungle.net/sprites/shiny/"&amp;B99&amp;".png")</f>
        <v/>
      </c>
      <c r="D103" s="16" t="str">
        <f>image("https://i.imgur.com/XI18XGu.png")</f>
        <v/>
      </c>
      <c r="E103" s="20" t="str">
        <f>image("https://pokejungle.net/sprites/shiny/"&amp;D99&amp;".png")</f>
        <v/>
      </c>
      <c r="F103" s="16" t="str">
        <f>image("https://i.imgur.com/XI18XGu.png")</f>
        <v/>
      </c>
      <c r="G103" s="20" t="str">
        <f>image("https://pokejungle.net/sprites/shiny/"&amp;F99&amp;".png")</f>
        <v/>
      </c>
      <c r="H103" s="16" t="str">
        <f>image("https://i.imgur.com/XI18XGu.png")</f>
        <v/>
      </c>
      <c r="I103" s="20" t="str">
        <f>image("https://pokejungle.net/sprites/shiny/"&amp;H99&amp;".png")</f>
        <v/>
      </c>
      <c r="J103" s="16" t="str">
        <f>image("https://i.imgur.com/rAI9Gyi.png")</f>
        <v/>
      </c>
      <c r="K103" s="20" t="str">
        <f>image("https://pokejungle.net/sprites/shiny/"&amp;J99&amp;".png")</f>
        <v/>
      </c>
      <c r="L103" s="16" t="str">
        <f>image("https://i.imgur.com/N2Wqr43.png")</f>
        <v/>
      </c>
      <c r="M103" s="20" t="str">
        <f>image("https://pokejungle.net/sprites/shiny/"&amp;L99&amp;".png")</f>
        <v/>
      </c>
      <c r="N103" s="16" t="str">
        <f t="shared" si="4"/>
        <v/>
      </c>
      <c r="O103" s="20" t="str">
        <f>image("https://pokejungle.net/sprites/shiny/"&amp;N99&amp;".png")</f>
        <v/>
      </c>
      <c r="P103" s="16" t="str">
        <f>image("https://i.imgur.com/XzidFHI.png")</f>
        <v/>
      </c>
      <c r="Q103" s="20" t="str">
        <f>image("https://pokejungle.net/sprites/shiny/"&amp;P99&amp;"-f.png")</f>
        <v/>
      </c>
      <c r="R103" s="33"/>
    </row>
    <row r="104" ht="26.25" customHeight="1">
      <c r="A104" s="15"/>
      <c r="B104" s="38" t="str">
        <f>image("https://i.imgur.com/GyNf8BH.png")</f>
        <v/>
      </c>
      <c r="C104" s="36"/>
      <c r="D104" s="38" t="str">
        <f>image("https://i.imgur.com/a9HBljD.png")</f>
        <v/>
      </c>
      <c r="E104" s="36"/>
      <c r="F104" s="38" t="str">
        <f>image("https://i.imgur.com/a9HBljD.png")</f>
        <v/>
      </c>
      <c r="G104" s="36"/>
      <c r="H104" s="38" t="str">
        <f>image("https://i.imgur.com/a9HBljD.png")</f>
        <v/>
      </c>
      <c r="I104" s="36"/>
      <c r="J104" s="38" t="str">
        <f>image("https://i.imgur.com/XI18XGu.png")</f>
        <v/>
      </c>
      <c r="K104" s="36"/>
      <c r="L104" s="35" t="str">
        <f>image("https://i.imgur.com/ef1o2lD.png")</f>
        <v/>
      </c>
      <c r="M104" s="36"/>
      <c r="N104" s="38" t="str">
        <f>image("https://i.imgur.com/rJhTvoD.png")</f>
        <v/>
      </c>
      <c r="O104" s="36"/>
      <c r="P104" s="38" t="str">
        <f>image("https://i.imgur.com/XNzvO0H.png")</f>
        <v/>
      </c>
      <c r="Q104" s="36"/>
      <c r="R104" s="33"/>
    </row>
    <row r="105" ht="26.25" customHeight="1">
      <c r="A105" s="15"/>
      <c r="B105" s="40" t="str">
        <f>image("https://i.imgur.com/0ArMZjJ.png")</f>
        <v/>
      </c>
      <c r="C105" s="41"/>
      <c r="D105" s="40" t="str">
        <f>image("https://i.imgur.com/rAI9Gyi.png")</f>
        <v/>
      </c>
      <c r="E105" s="41"/>
      <c r="F105" s="40" t="str">
        <f>image("https://i.imgur.com/rAI9Gyi.png")</f>
        <v/>
      </c>
      <c r="G105" s="41"/>
      <c r="H105" s="40" t="str">
        <f>image("https://i.imgur.com/rAI9Gyi.png")</f>
        <v/>
      </c>
      <c r="I105" s="41"/>
      <c r="J105" s="40"/>
      <c r="K105" s="41"/>
      <c r="L105" s="40" t="str">
        <f>image("https://i.imgur.com/zpybKax.png")</f>
        <v/>
      </c>
      <c r="M105" s="41"/>
      <c r="N105" s="40"/>
      <c r="O105" s="41"/>
      <c r="P105" s="40" t="str">
        <f>image("https://i.imgur.com/ef1o2lD.png")</f>
        <v/>
      </c>
      <c r="Q105" s="41"/>
      <c r="R105" s="33"/>
    </row>
    <row r="106" ht="18.75" customHeight="1">
      <c r="A106" s="6"/>
      <c r="B106" s="8" t="s">
        <v>826</v>
      </c>
      <c r="C106" s="10" t="s">
        <v>828</v>
      </c>
      <c r="D106" s="8" t="s">
        <v>830</v>
      </c>
      <c r="E106" s="10" t="s">
        <v>832</v>
      </c>
      <c r="F106" s="8" t="s">
        <v>834</v>
      </c>
      <c r="G106" s="10" t="s">
        <v>836</v>
      </c>
      <c r="H106" s="8" t="s">
        <v>838</v>
      </c>
      <c r="I106" s="10" t="s">
        <v>839</v>
      </c>
      <c r="J106" s="8" t="s">
        <v>840</v>
      </c>
      <c r="K106" s="10" t="s">
        <v>841</v>
      </c>
      <c r="L106" s="8" t="s">
        <v>842</v>
      </c>
      <c r="M106" s="10" t="s">
        <v>843</v>
      </c>
      <c r="N106" s="8" t="s">
        <v>844</v>
      </c>
      <c r="O106" s="10" t="s">
        <v>845</v>
      </c>
      <c r="P106" s="8" t="s">
        <v>846</v>
      </c>
      <c r="Q106" s="10" t="s">
        <v>847</v>
      </c>
      <c r="R106" s="14"/>
    </row>
    <row r="107" ht="26.25" customHeight="1">
      <c r="A107" s="15"/>
      <c r="B107" s="16" t="str">
        <f>image("https://i.imgur.com/a9HBljD.png")</f>
        <v/>
      </c>
      <c r="C107" s="20" t="str">
        <f>image("https://pokejungle.net/sprites/normal/"&amp;B106&amp;".png")</f>
        <v/>
      </c>
      <c r="D107" s="16" t="str">
        <f>image("https://i.imgur.com/NkILW1J.png")</f>
        <v/>
      </c>
      <c r="E107" s="20" t="str">
        <f>image("https://pokejungle.net/sprites/normal/"&amp;D106&amp;".png")</f>
        <v/>
      </c>
      <c r="F107" s="16" t="str">
        <f>image("https://i.imgur.com/NkILW1J.png")</f>
        <v/>
      </c>
      <c r="G107" s="20" t="str">
        <f>image("https://pokejungle.net/sprites/normal/"&amp;F106&amp;".png")</f>
        <v/>
      </c>
      <c r="H107" s="24" t="str">
        <f>image("https://i.imgur.com/SF5CZ6U.png")</f>
        <v/>
      </c>
      <c r="I107" s="20" t="str">
        <f>image("https://pokejungle.net/sprites/normal/"&amp;H106&amp;".png")</f>
        <v/>
      </c>
      <c r="J107" s="24" t="str">
        <f>image("https://i.imgur.com/SF5CZ6U.png")</f>
        <v/>
      </c>
      <c r="K107" s="20" t="str">
        <f>image("https://pokejungle.net/sprites/normal/"&amp;J106&amp;".png")</f>
        <v/>
      </c>
      <c r="L107" s="24" t="str">
        <f>image("https://i.imgur.com/SF5CZ6U.png")</f>
        <v/>
      </c>
      <c r="M107" s="20" t="str">
        <f>image("https://pokejungle.net/sprites/normal/"&amp;L106&amp;".png")</f>
        <v/>
      </c>
      <c r="N107" s="24" t="str">
        <f>image("https://i.imgur.com/SF5CZ6U.png")</f>
        <v/>
      </c>
      <c r="O107" s="20" t="str">
        <f>image("https://pokejungle.net/sprites/normal/"&amp;N106&amp;".png")</f>
        <v/>
      </c>
      <c r="P107" s="16" t="str">
        <f>image("https://i.imgur.com/JOd7Boe.png")</f>
        <v/>
      </c>
      <c r="Q107" s="20" t="str">
        <f>image("https://pokejungle.net/sprites/normal/"&amp;P106&amp;".png")</f>
        <v/>
      </c>
      <c r="R107" s="33"/>
    </row>
    <row r="108" ht="26.25" customHeight="1">
      <c r="A108" s="15"/>
      <c r="B108" s="38" t="str">
        <f>image("https://i.imgur.com/rAI9Gyi.png")</f>
        <v/>
      </c>
      <c r="C108" s="36"/>
      <c r="D108" s="38" t="str">
        <f>image("https://i.imgur.com/JDgAgAO.png")</f>
        <v/>
      </c>
      <c r="E108" s="36"/>
      <c r="F108" s="35" t="str">
        <f>image("https://i.imgur.com/JOd7Boe.png")</f>
        <v/>
      </c>
      <c r="G108" s="36"/>
      <c r="H108" s="37"/>
      <c r="I108" s="36"/>
      <c r="J108" s="38" t="str">
        <f>image("https://i.imgur.com/XzidFHI.png")</f>
        <v/>
      </c>
      <c r="K108" s="36"/>
      <c r="L108" s="38" t="str">
        <f>image("https://i.imgur.com/XzidFHI.png")</f>
        <v/>
      </c>
      <c r="M108" s="36"/>
      <c r="N108" s="38" t="str">
        <f>image("https://i.imgur.com/XzidFHI.png")</f>
        <v/>
      </c>
      <c r="O108" s="36"/>
      <c r="P108" s="38" t="str">
        <f>image("https://i.imgur.com/RqSOGo6.png")</f>
        <v/>
      </c>
      <c r="Q108" s="36"/>
      <c r="R108" s="33"/>
    </row>
    <row r="109" ht="26.25" customHeight="1">
      <c r="A109" s="15"/>
      <c r="B109" s="40"/>
      <c r="C109" s="41"/>
      <c r="D109" s="40" t="str">
        <f>image("https://i.imgur.com/zpybKax.png")</f>
        <v/>
      </c>
      <c r="E109" s="41"/>
      <c r="F109" s="40"/>
      <c r="G109" s="41"/>
      <c r="H109" s="40"/>
      <c r="I109" s="41"/>
      <c r="J109" s="40" t="str">
        <f t="shared" ref="J109:J110" si="5">image("https://i.imgur.com/NkILW1J.png")</f>
        <v/>
      </c>
      <c r="K109" s="41"/>
      <c r="L109" s="40" t="str">
        <f t="shared" ref="L109:L110" si="6">image("https://i.imgur.com/NkILW1J.png")</f>
        <v/>
      </c>
      <c r="M109" s="41"/>
      <c r="N109" s="40" t="str">
        <f t="shared" ref="N109:N110" si="7">image("https://i.imgur.com/NkILW1J.png")</f>
        <v/>
      </c>
      <c r="O109" s="41"/>
      <c r="P109" s="40" t="str">
        <f>image("https://i.imgur.com/GyNf8BH.png")</f>
        <v/>
      </c>
      <c r="Q109" s="41"/>
      <c r="R109" s="33"/>
    </row>
    <row r="110" ht="26.25" customHeight="1">
      <c r="A110" s="15"/>
      <c r="B110" s="16" t="str">
        <f>image("https://i.imgur.com/EkqYYOB.png")</f>
        <v/>
      </c>
      <c r="C110" s="20" t="str">
        <f>image("https://pokejungle.net/sprites/shiny/"&amp;B106&amp;".png")</f>
        <v/>
      </c>
      <c r="D110" s="16" t="str">
        <f>image("https://i.imgur.com/VQL4lPa.png")</f>
        <v/>
      </c>
      <c r="E110" s="20" t="str">
        <f>image("https://pokejungle.net/sprites/shiny/"&amp;D106&amp;".png")</f>
        <v/>
      </c>
      <c r="F110" s="16" t="str">
        <f>image("https://i.imgur.com/VQL4lPa.png")</f>
        <v/>
      </c>
      <c r="G110" s="20" t="str">
        <f>image("https://pokejungle.net/sprites/shiny/"&amp;F106&amp;".png")</f>
        <v/>
      </c>
      <c r="H110" s="16" t="str">
        <f>image("https://i.imgur.com/VQL4lPa.png")</f>
        <v/>
      </c>
      <c r="I110" s="20" t="str">
        <f>image("https://pokejungle.net/sprites/shiny/"&amp;H106&amp;".png")</f>
        <v/>
      </c>
      <c r="J110" s="16" t="str">
        <f t="shared" si="5"/>
        <v/>
      </c>
      <c r="K110" s="20" t="str">
        <f>image("https://pokejungle.net/sprites/shiny/"&amp;J106&amp;".png")</f>
        <v/>
      </c>
      <c r="L110" s="16" t="str">
        <f t="shared" si="6"/>
        <v/>
      </c>
      <c r="M110" s="20" t="str">
        <f>image("https://pokejungle.net/sprites/shiny/"&amp;L106&amp;".png")</f>
        <v/>
      </c>
      <c r="N110" s="16" t="str">
        <f t="shared" si="7"/>
        <v/>
      </c>
      <c r="O110" s="20" t="str">
        <f>image("https://pokejungle.net/sprites/shiny/"&amp;N106&amp;".png")</f>
        <v/>
      </c>
      <c r="P110" s="16" t="str">
        <f>image("https://i.imgur.com/XIu6jDl.png")</f>
        <v/>
      </c>
      <c r="Q110" s="20" t="str">
        <f>image("https://pokejungle.net/sprites/shiny/"&amp;P106&amp;".png")</f>
        <v/>
      </c>
      <c r="R110" s="33"/>
    </row>
    <row r="111" ht="26.25" customHeight="1">
      <c r="A111" s="15"/>
      <c r="B111" s="38" t="str">
        <f>image("https://i.imgur.com/a9HBljD.png")</f>
        <v/>
      </c>
      <c r="C111" s="36"/>
      <c r="D111" s="38" t="str">
        <f>image("https://i.imgur.com/N2Wqr43.png")</f>
        <v/>
      </c>
      <c r="E111" s="36"/>
      <c r="F111" s="38" t="str">
        <f>image("https://i.imgur.com/N2Wqr43.png")</f>
        <v/>
      </c>
      <c r="G111" s="36"/>
      <c r="H111" s="38" t="str">
        <f>image("https://i.imgur.com/N2Wqr43.png")</f>
        <v/>
      </c>
      <c r="I111" s="36"/>
      <c r="J111" s="35" t="str">
        <f>image("https://i.imgur.com/EkqYYOB.png")</f>
        <v/>
      </c>
      <c r="K111" s="36"/>
      <c r="L111" s="35" t="str">
        <f>image("https://i.imgur.com/EkqYYOB.png")</f>
        <v/>
      </c>
      <c r="M111" s="36"/>
      <c r="N111" s="35" t="str">
        <f>image("https://i.imgur.com/EkqYYOB.png")</f>
        <v/>
      </c>
      <c r="O111" s="36"/>
      <c r="P111" s="38" t="str">
        <f>image("https://i.imgur.com/JOd7Boe.png")</f>
        <v/>
      </c>
      <c r="Q111" s="36"/>
      <c r="R111" s="33"/>
    </row>
    <row r="112" ht="26.25" customHeight="1">
      <c r="A112" s="15"/>
      <c r="B112" s="40" t="str">
        <f>image("https://i.imgur.com/rAI9Gyi.png")</f>
        <v/>
      </c>
      <c r="C112" s="41"/>
      <c r="D112" s="40" t="str">
        <f>image("https://i.imgur.com/XIu6jDl.png")</f>
        <v/>
      </c>
      <c r="E112" s="41"/>
      <c r="F112" s="40" t="str">
        <f>image("https://i.imgur.com/XIu6jDl.png")</f>
        <v/>
      </c>
      <c r="G112" s="41"/>
      <c r="H112" s="40" t="str">
        <f>image("https://i.imgur.com/XIu6jDl.png")</f>
        <v/>
      </c>
      <c r="I112" s="41"/>
      <c r="J112" s="40"/>
      <c r="K112" s="41"/>
      <c r="L112" s="43"/>
      <c r="M112" s="41"/>
      <c r="N112" s="40"/>
      <c r="O112" s="41"/>
      <c r="P112" s="40" t="str">
        <f>image("https://i.imgur.com/lpOVjtL.png")</f>
        <v/>
      </c>
      <c r="Q112" s="41"/>
      <c r="R112" s="33"/>
    </row>
    <row r="113" ht="18.75" customHeight="1">
      <c r="A113" s="6"/>
      <c r="B113" s="8" t="s">
        <v>868</v>
      </c>
      <c r="C113" s="10" t="s">
        <v>869</v>
      </c>
      <c r="D113" s="8" t="s">
        <v>870</v>
      </c>
      <c r="E113" s="10" t="s">
        <v>871</v>
      </c>
      <c r="F113" s="8" t="s">
        <v>872</v>
      </c>
      <c r="G113" s="10" t="s">
        <v>873</v>
      </c>
      <c r="H113" s="8" t="s">
        <v>874</v>
      </c>
      <c r="I113" s="10" t="s">
        <v>875</v>
      </c>
      <c r="J113" s="8" t="s">
        <v>876</v>
      </c>
      <c r="K113" s="10" t="s">
        <v>877</v>
      </c>
      <c r="L113" s="8" t="s">
        <v>878</v>
      </c>
      <c r="M113" s="10" t="s">
        <v>879</v>
      </c>
      <c r="N113" s="8" t="s">
        <v>880</v>
      </c>
      <c r="O113" s="10" t="s">
        <v>881</v>
      </c>
      <c r="P113" s="8" t="s">
        <v>882</v>
      </c>
      <c r="Q113" s="10" t="s">
        <v>883</v>
      </c>
      <c r="R113" s="14"/>
    </row>
    <row r="114" ht="26.25" customHeight="1">
      <c r="A114" s="15"/>
      <c r="B114" s="16" t="str">
        <f>image("https://i.imgur.com/XNzvO0H.png")</f>
        <v/>
      </c>
      <c r="C114" s="20" t="str">
        <f>image("https://pokejungle.net/sprites/normal/"&amp;B113&amp;".png")</f>
        <v/>
      </c>
      <c r="D114" s="16" t="str">
        <f>image("https://i.imgur.com/NkILW1J.png")</f>
        <v/>
      </c>
      <c r="E114" s="20" t="str">
        <f>image("https://pokejungle.net/sprites/normal/"&amp;D113&amp;".png")</f>
        <v/>
      </c>
      <c r="F114" s="16" t="str">
        <f>image("https://i.imgur.com/bxys1sd.png")</f>
        <v/>
      </c>
      <c r="G114" s="20" t="str">
        <f>image("https://pokejungle.net/sprites/normal/"&amp;F113&amp;".png")</f>
        <v/>
      </c>
      <c r="H114" s="24" t="str">
        <f>image("https://i.imgur.com/SF5CZ6U.png")</f>
        <v/>
      </c>
      <c r="I114" s="20" t="str">
        <f>image("https://pokejungle.net/sprites/normal/"&amp;H113&amp;".png")</f>
        <v/>
      </c>
      <c r="J114" s="16" t="str">
        <f>image("https://i.imgur.com/SF5CZ6U.png")</f>
        <v/>
      </c>
      <c r="K114" s="20" t="str">
        <f>image("https://pokejungle.net/sprites/normal/"&amp;J113&amp;".png")</f>
        <v/>
      </c>
      <c r="L114" s="28" t="str">
        <f>image("https://i.imgur.com/JOd7Boe.png")</f>
        <v/>
      </c>
      <c r="M114" s="20" t="str">
        <f>image("https://pokejungle.net/sprites/normal/"&amp;L113&amp;".png")</f>
        <v/>
      </c>
      <c r="N114" s="16" t="str">
        <f>image("https://i.imgur.com/VQL4lPa.png")</f>
        <v/>
      </c>
      <c r="O114" s="20" t="str">
        <f>image("https://pokejungle.net/sprites/normal/"&amp;N113&amp;".png")</f>
        <v/>
      </c>
      <c r="P114" s="16" t="str">
        <f>image("https://i.imgur.com/aeqHLEh.png")</f>
        <v/>
      </c>
      <c r="Q114" s="20" t="str">
        <f>image("https://pokejungle.net/sprites/normal/"&amp;P113&amp;".png")</f>
        <v/>
      </c>
      <c r="R114" s="33"/>
    </row>
    <row r="115" ht="26.25" customHeight="1">
      <c r="A115" s="15"/>
      <c r="B115" s="35" t="str">
        <f>image("https://i.imgur.com/zpybKax.png")</f>
        <v/>
      </c>
      <c r="C115" s="36"/>
      <c r="D115" s="38" t="str">
        <f>image("https://i.imgur.com/JOd7Boe.png")</f>
        <v/>
      </c>
      <c r="E115" s="36"/>
      <c r="F115" s="35" t="str">
        <f>image("https://i.imgur.com/0ArMZjJ.png")</f>
        <v/>
      </c>
      <c r="G115" s="36"/>
      <c r="H115" s="37" t="str">
        <f>image("https://i.imgur.com/0ArMZjJ.png")</f>
        <v/>
      </c>
      <c r="I115" s="36"/>
      <c r="J115" s="38" t="str">
        <f>image("https://i.imgur.com/XNzvO0H.png")</f>
        <v/>
      </c>
      <c r="K115" s="36"/>
      <c r="L115" s="37" t="str">
        <f>image("https://i.imgur.com/GyNf8BH.png")</f>
        <v/>
      </c>
      <c r="M115" s="36"/>
      <c r="N115" s="38" t="str">
        <f>image("https://i.imgur.com/N2Wqr43.png")</f>
        <v/>
      </c>
      <c r="O115" s="36"/>
      <c r="P115" s="38" t="str">
        <f>image("https://i.imgur.com/beHgI95.png")</f>
        <v/>
      </c>
      <c r="Q115" s="36"/>
      <c r="R115" s="33"/>
    </row>
    <row r="116" ht="26.25" customHeight="1">
      <c r="A116" s="15"/>
      <c r="B116" s="40" t="str">
        <f>image("https://i.imgur.com/JDgAgAO.png")</f>
        <v/>
      </c>
      <c r="C116" s="41"/>
      <c r="D116" s="40"/>
      <c r="E116" s="41"/>
      <c r="F116" s="40" t="str">
        <f>image("https://i.imgur.com/GyNf8BH.png")</f>
        <v/>
      </c>
      <c r="G116" s="41"/>
      <c r="H116" s="43" t="str">
        <f>image("https://i.imgur.com/XNzvO0H.png")</f>
        <v/>
      </c>
      <c r="I116" s="41"/>
      <c r="J116" s="40"/>
      <c r="K116" s="41"/>
      <c r="L116" s="40" t="str">
        <f>image("https://i.imgur.com/bxys1sd.png")</f>
        <v/>
      </c>
      <c r="M116" s="41"/>
      <c r="N116" s="40" t="str">
        <f>image("https://i.imgur.com/XIu6jDl.png")</f>
        <v/>
      </c>
      <c r="O116" s="41"/>
      <c r="P116" s="40" t="str">
        <f>image("https://i.imgur.com/bxys1sd.png")</f>
        <v/>
      </c>
      <c r="Q116" s="41"/>
      <c r="R116" s="33"/>
    </row>
    <row r="117" ht="26.25" customHeight="1">
      <c r="A117" s="15"/>
      <c r="B117" s="16" t="str">
        <f>image("https://i.imgur.com/XNzvO0H.png")</f>
        <v/>
      </c>
      <c r="C117" s="20" t="str">
        <f>image("https://pokejungle.net/sprites/shiny/"&amp;B113&amp;".png")</f>
        <v/>
      </c>
      <c r="D117" s="16" t="str">
        <f>image("https://i.imgur.com/NkILW1J.png")</f>
        <v/>
      </c>
      <c r="E117" s="20" t="str">
        <f>image("https://pokejungle.net/sprites/shiny/"&amp;D113&amp;".png")</f>
        <v/>
      </c>
      <c r="F117" s="16" t="str">
        <f>image("https://i.imgur.com/rJhTvoD.png")</f>
        <v/>
      </c>
      <c r="G117" s="20" t="str">
        <f>image("https://pokejungle.net/sprites/shiny/"&amp;F113&amp;".png")</f>
        <v/>
      </c>
      <c r="H117" s="16" t="str">
        <f>image("https://i.imgur.com/VQL4lPa.png")</f>
        <v/>
      </c>
      <c r="I117" s="20" t="str">
        <f>image("https://pokejungle.net/sprites/shiny/"&amp;H113&amp;".png")</f>
        <v/>
      </c>
      <c r="J117" s="16" t="str">
        <f>image("https://i.imgur.com/nNTmuH8.png")</f>
        <v/>
      </c>
      <c r="K117" s="20" t="str">
        <f>image("https://pokejungle.net/sprites/shiny/"&amp;J113&amp;".png")</f>
        <v/>
      </c>
      <c r="L117" s="16" t="str">
        <f>image("https://i.imgur.com/beHgI95.png")</f>
        <v/>
      </c>
      <c r="M117" s="20" t="str">
        <f>image("https://pokejungle.net/sprites/shiny/"&amp;L113&amp;".png")</f>
        <v/>
      </c>
      <c r="N117" s="16" t="str">
        <f>image("https://i.imgur.com/rJhTvoD.png")</f>
        <v/>
      </c>
      <c r="O117" s="20" t="str">
        <f>image("https://pokejungle.net/sprites/shiny/"&amp;N113&amp;".png")</f>
        <v/>
      </c>
      <c r="P117" s="16" t="str">
        <f>image("https://i.imgur.com/aeqHLEh.png")</f>
        <v/>
      </c>
      <c r="Q117" s="20" t="str">
        <f>image("https://pokejungle.net/sprites/shiny/"&amp;P113&amp;".png")</f>
        <v/>
      </c>
      <c r="R117" s="33"/>
    </row>
    <row r="118" ht="26.25" customHeight="1">
      <c r="A118" s="15"/>
      <c r="B118" s="35" t="str">
        <f>image("https://i.imgur.com/zpybKax.png")</f>
        <v/>
      </c>
      <c r="C118" s="36"/>
      <c r="D118" s="38" t="str">
        <f>image("https://i.imgur.com/JOd7Boe.png")</f>
        <v/>
      </c>
      <c r="E118" s="36"/>
      <c r="F118" s="38" t="str">
        <f>image("https://i.imgur.com/lKAfx6k.png")</f>
        <v/>
      </c>
      <c r="G118" s="36"/>
      <c r="H118" s="38" t="str">
        <f>image("https://i.imgur.com/JDgAgAO.png")</f>
        <v/>
      </c>
      <c r="I118" s="36"/>
      <c r="J118" s="38" t="str">
        <f>image("https://i.imgur.com/rAI9Gyi.png")</f>
        <v/>
      </c>
      <c r="K118" s="36"/>
      <c r="L118" s="46" t="str">
        <f>image("https://i.imgur.com/rJhTvoD.png")</f>
        <v/>
      </c>
      <c r="M118" s="36"/>
      <c r="N118" s="46" t="str">
        <f>image("https://i.imgur.com/beHgI95.png")</f>
        <v/>
      </c>
      <c r="O118" s="36"/>
      <c r="P118" s="38" t="str">
        <f>image("https://i.imgur.com/beHgI95.png")</f>
        <v/>
      </c>
      <c r="Q118" s="36"/>
      <c r="R118" s="33"/>
    </row>
    <row r="119" ht="26.25" customHeight="1">
      <c r="A119" s="15"/>
      <c r="B119" s="40" t="str">
        <f>image("https://i.imgur.com/JDgAgAO.png")</f>
        <v/>
      </c>
      <c r="C119" s="41"/>
      <c r="D119" s="43" t="str">
        <f>image("https://i.imgur.com/XzidFHI.png")</f>
        <v/>
      </c>
      <c r="E119" s="41"/>
      <c r="F119" s="40" t="str">
        <f>image("https://i.imgur.com/zpybKax.png")</f>
        <v/>
      </c>
      <c r="G119" s="41"/>
      <c r="H119" s="40" t="str">
        <f>image("https://i.imgur.com/zpybKax.png")</f>
        <v/>
      </c>
      <c r="I119" s="41"/>
      <c r="J119" s="43" t="str">
        <f>image("https://i.imgur.com/EkqYYOB.png")</f>
        <v/>
      </c>
      <c r="K119" s="41"/>
      <c r="L119" s="43" t="str">
        <f>image("https://i.imgur.com/EkqYYOB.png")</f>
        <v/>
      </c>
      <c r="M119" s="41"/>
      <c r="N119" s="43" t="str">
        <f>image("https://i.imgur.com/EkqYYOB.png")</f>
        <v/>
      </c>
      <c r="O119" s="41"/>
      <c r="P119" s="40" t="str">
        <f>image("https://i.imgur.com/bxys1sd.png")</f>
        <v/>
      </c>
      <c r="Q119" s="41"/>
      <c r="R119" s="33"/>
    </row>
    <row r="120" ht="18.75" customHeight="1">
      <c r="A120" s="6"/>
      <c r="B120" s="8" t="s">
        <v>914</v>
      </c>
      <c r="C120" s="10" t="s">
        <v>915</v>
      </c>
      <c r="D120" s="8" t="s">
        <v>914</v>
      </c>
      <c r="E120" s="10" t="s">
        <v>916</v>
      </c>
      <c r="F120" s="8" t="s">
        <v>914</v>
      </c>
      <c r="G120" s="10" t="s">
        <v>917</v>
      </c>
      <c r="H120" s="8" t="s">
        <v>914</v>
      </c>
      <c r="I120" s="10" t="s">
        <v>918</v>
      </c>
      <c r="J120" s="69"/>
      <c r="K120" s="70"/>
      <c r="L120" s="2"/>
      <c r="M120" s="1"/>
      <c r="N120" s="2"/>
      <c r="O120" s="1"/>
      <c r="P120" s="2"/>
      <c r="Q120" s="1"/>
      <c r="R120" s="14"/>
    </row>
    <row r="121" ht="26.25" customHeight="1">
      <c r="A121" s="15"/>
      <c r="B121" s="16" t="str">
        <f>image("https://i.imgur.com/RqSOGo6.png")</f>
        <v/>
      </c>
      <c r="C121" s="20" t="str">
        <f>image("https://pokejungle.net/sprites/normal/"&amp;B120&amp;".png")</f>
        <v/>
      </c>
      <c r="D121" s="16" t="str">
        <f>image("https://i.imgur.com/RqSOGo6.png")</f>
        <v/>
      </c>
      <c r="E121" s="20" t="str">
        <f>image("https://pokejungle.net/sprites/normal/"&amp;D120&amp;"-1.png")</f>
        <v/>
      </c>
      <c r="F121" s="16" t="str">
        <f>image("https://i.imgur.com/RqSOGo6.png")</f>
        <v/>
      </c>
      <c r="G121" s="20" t="str">
        <f>image("https://pokejungle.net/sprites/normal/"&amp;F120&amp;"-2.png")</f>
        <v/>
      </c>
      <c r="H121" s="24" t="str">
        <f>image("https://i.imgur.com/RqSOGo6.png")</f>
        <v/>
      </c>
      <c r="I121" s="20" t="str">
        <f>image("https://pokejungle.net/sprites/normal/"&amp;H120&amp;"-3.png")</f>
        <v/>
      </c>
      <c r="J121" s="60"/>
      <c r="K121" s="74"/>
      <c r="L121" s="60"/>
      <c r="M121" s="74"/>
      <c r="N121" s="60"/>
      <c r="O121" s="73"/>
      <c r="P121" s="60"/>
      <c r="Q121" s="74"/>
      <c r="R121" s="33"/>
    </row>
    <row r="122" ht="26.25" customHeight="1">
      <c r="A122" s="15"/>
      <c r="B122" s="38" t="str">
        <f>image("https://i.imgur.com/SF5CZ6U.png")</f>
        <v/>
      </c>
      <c r="C122" s="36"/>
      <c r="D122" s="35" t="str">
        <f>image("https://i.imgur.com/SF5CZ6U.png")</f>
        <v/>
      </c>
      <c r="E122" s="36"/>
      <c r="F122" s="35" t="str">
        <f>image("https://i.imgur.com/SF5CZ6U.png")</f>
        <v/>
      </c>
      <c r="G122" s="36"/>
      <c r="H122" s="37" t="str">
        <f>image("https://i.imgur.com/SF5CZ6U.png")</f>
        <v/>
      </c>
      <c r="I122" s="36"/>
      <c r="J122" s="60"/>
      <c r="K122" s="75"/>
      <c r="L122" s="60"/>
      <c r="M122" s="75"/>
      <c r="N122" s="60"/>
      <c r="O122" s="26"/>
      <c r="P122" s="60"/>
      <c r="Q122" s="75"/>
      <c r="R122" s="33"/>
    </row>
    <row r="123" ht="26.25" customHeight="1">
      <c r="A123" s="15"/>
      <c r="B123" s="40" t="str">
        <f>image("https://i.imgur.com/nNTmuH8.png")</f>
        <v/>
      </c>
      <c r="C123" s="41"/>
      <c r="D123" s="40" t="str">
        <f>image("https://i.imgur.com/nNTmuH8.png")</f>
        <v/>
      </c>
      <c r="E123" s="41"/>
      <c r="F123" s="40" t="str">
        <f>image("https://i.imgur.com/nNTmuH8.png")</f>
        <v/>
      </c>
      <c r="G123" s="41"/>
      <c r="H123" s="40" t="str">
        <f>image("https://i.imgur.com/nNTmuH8.png")</f>
        <v/>
      </c>
      <c r="I123" s="41"/>
      <c r="J123" s="60"/>
      <c r="K123" s="76"/>
      <c r="L123" s="60"/>
      <c r="M123" s="76"/>
      <c r="N123" s="60"/>
      <c r="O123" s="52"/>
      <c r="P123" s="60"/>
      <c r="Q123" s="76"/>
      <c r="R123" s="33"/>
    </row>
    <row r="124" ht="26.25" customHeight="1">
      <c r="A124" s="15"/>
      <c r="B124" s="16" t="str">
        <f>image("https://i.imgur.com/beHgI95.png")</f>
        <v/>
      </c>
      <c r="C124" s="20" t="str">
        <f>image("https://pokejungle.net/sprites/shiny/"&amp;B120&amp;".png")</f>
        <v/>
      </c>
      <c r="D124" s="16" t="str">
        <f>image("https://i.imgur.com/beHgI95.png")</f>
        <v/>
      </c>
      <c r="E124" s="20" t="str">
        <f>image("https://pokejungle.net/sprites/shiny/"&amp;D120&amp;"-1.png")</f>
        <v/>
      </c>
      <c r="F124" s="16" t="str">
        <f>image("https://i.imgur.com/beHgI95.png")</f>
        <v/>
      </c>
      <c r="G124" s="20" t="str">
        <f>image("https://pokejungle.net/sprites/shiny/"&amp;F120&amp;"-2.png")</f>
        <v/>
      </c>
      <c r="H124" s="16" t="str">
        <f>image("https://i.imgur.com/beHgI95.png")</f>
        <v/>
      </c>
      <c r="I124" s="20" t="str">
        <f>image("https://pokejungle.net/sprites/shiny/"&amp;H120&amp;"-3.png")</f>
        <v/>
      </c>
      <c r="J124" s="60"/>
      <c r="K124" s="74"/>
      <c r="L124" s="60"/>
      <c r="M124" s="74"/>
      <c r="N124" s="60"/>
      <c r="O124" s="73"/>
      <c r="P124" s="60"/>
      <c r="Q124" s="74"/>
      <c r="R124" s="33"/>
    </row>
    <row r="125" ht="26.25" customHeight="1">
      <c r="A125" s="15"/>
      <c r="B125" s="38" t="str">
        <f>image("https://i.imgur.com/RqSOGo6.png")</f>
        <v/>
      </c>
      <c r="C125" s="36"/>
      <c r="D125" s="46" t="str">
        <f>image("https://i.imgur.com/RqSOGo6.png")</f>
        <v/>
      </c>
      <c r="E125" s="36"/>
      <c r="F125" s="35" t="str">
        <f>image("https://i.imgur.com/RqSOGo6.png")</f>
        <v/>
      </c>
      <c r="G125" s="36"/>
      <c r="H125" s="46" t="str">
        <f>image("https://i.imgur.com/RqSOGo6.png")</f>
        <v/>
      </c>
      <c r="I125" s="36"/>
      <c r="J125" s="60"/>
      <c r="K125" s="75"/>
      <c r="L125" s="60"/>
      <c r="M125" s="75"/>
      <c r="N125" s="60"/>
      <c r="O125" s="26"/>
      <c r="P125" s="60"/>
      <c r="Q125" s="75"/>
      <c r="R125" s="33"/>
    </row>
    <row r="126" ht="26.25" customHeight="1">
      <c r="A126" s="15"/>
      <c r="B126" s="40" t="str">
        <f>image("https://i.imgur.com/nNTmuH8.png")</f>
        <v/>
      </c>
      <c r="C126" s="41"/>
      <c r="D126" s="43" t="str">
        <f>image("https://i.imgur.com/nNTmuH8.png")</f>
        <v/>
      </c>
      <c r="E126" s="41"/>
      <c r="F126" s="40" t="str">
        <f>image("https://i.imgur.com/nNTmuH8.png")</f>
        <v/>
      </c>
      <c r="G126" s="41"/>
      <c r="H126" s="43" t="str">
        <f>image("https://i.imgur.com/nNTmuH8.png")</f>
        <v/>
      </c>
      <c r="I126" s="41"/>
      <c r="J126" s="60"/>
      <c r="K126" s="76"/>
      <c r="L126" s="60"/>
      <c r="M126" s="76"/>
      <c r="N126" s="60"/>
      <c r="O126" s="52"/>
      <c r="P126" s="60"/>
      <c r="Q126" s="76"/>
      <c r="R126" s="33"/>
    </row>
    <row r="127" ht="18.75" customHeight="1">
      <c r="A127" s="1"/>
      <c r="B127" s="2"/>
      <c r="C127" s="1"/>
      <c r="D127" s="2"/>
      <c r="E127" s="1"/>
      <c r="F127" s="2"/>
      <c r="G127" s="1"/>
      <c r="H127" s="2"/>
      <c r="I127" s="1"/>
      <c r="J127" s="2"/>
      <c r="K127" s="1"/>
      <c r="L127" s="2"/>
      <c r="M127" s="1"/>
      <c r="N127" s="2"/>
      <c r="O127" s="1"/>
      <c r="P127" s="2"/>
      <c r="Q127" s="1"/>
      <c r="R127" s="1"/>
    </row>
  </sheetData>
  <mergeCells count="288">
    <mergeCell ref="I19:I21"/>
    <mergeCell ref="I23:I25"/>
    <mergeCell ref="I30:I32"/>
    <mergeCell ref="I33:I35"/>
    <mergeCell ref="I37:I39"/>
    <mergeCell ref="I40:I42"/>
    <mergeCell ref="I44:I46"/>
    <mergeCell ref="I79:I81"/>
    <mergeCell ref="I82:I84"/>
    <mergeCell ref="I86:I88"/>
    <mergeCell ref="I89:I91"/>
    <mergeCell ref="I93:I95"/>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40:O42"/>
    <mergeCell ref="O44:O46"/>
    <mergeCell ref="O47:O49"/>
    <mergeCell ref="O51:O53"/>
    <mergeCell ref="O54:O56"/>
    <mergeCell ref="O58:O60"/>
    <mergeCell ref="O61:O63"/>
    <mergeCell ref="I72:I74"/>
    <mergeCell ref="I75:I77"/>
    <mergeCell ref="M72:M74"/>
    <mergeCell ref="M75:M77"/>
    <mergeCell ref="M79:M81"/>
    <mergeCell ref="M82:M84"/>
    <mergeCell ref="M86:M88"/>
    <mergeCell ref="M89:M91"/>
    <mergeCell ref="M93:M95"/>
    <mergeCell ref="M58:M60"/>
    <mergeCell ref="M61:M63"/>
    <mergeCell ref="M65:M67"/>
    <mergeCell ref="K68:K70"/>
    <mergeCell ref="M68:M70"/>
    <mergeCell ref="K72:K74"/>
    <mergeCell ref="K75:K77"/>
    <mergeCell ref="E100:E102"/>
    <mergeCell ref="E103:E105"/>
    <mergeCell ref="C86:C88"/>
    <mergeCell ref="C89:C91"/>
    <mergeCell ref="C93:C95"/>
    <mergeCell ref="C96:C98"/>
    <mergeCell ref="C100:C102"/>
    <mergeCell ref="G100:G102"/>
    <mergeCell ref="G103:G105"/>
    <mergeCell ref="E110:E112"/>
    <mergeCell ref="E114:E116"/>
    <mergeCell ref="C103:C105"/>
    <mergeCell ref="C107:C109"/>
    <mergeCell ref="E107:E109"/>
    <mergeCell ref="G107:G109"/>
    <mergeCell ref="C110:C112"/>
    <mergeCell ref="G110:G112"/>
    <mergeCell ref="G114:G116"/>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C61:C63"/>
    <mergeCell ref="C65:C67"/>
    <mergeCell ref="C68:C70"/>
    <mergeCell ref="C72:C74"/>
    <mergeCell ref="C75:C77"/>
    <mergeCell ref="C79:C81"/>
    <mergeCell ref="C82:C84"/>
    <mergeCell ref="E121:E123"/>
    <mergeCell ref="E124:E126"/>
    <mergeCell ref="C114:C116"/>
    <mergeCell ref="C117:C119"/>
    <mergeCell ref="E117:E119"/>
    <mergeCell ref="G117:G119"/>
    <mergeCell ref="C121:C123"/>
    <mergeCell ref="G121:G123"/>
    <mergeCell ref="C124:C126"/>
    <mergeCell ref="G124:G126"/>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54:Q56"/>
    <mergeCell ref="Q58:Q60"/>
    <mergeCell ref="Q61:Q63"/>
    <mergeCell ref="Q65:Q67"/>
    <mergeCell ref="Q68:Q70"/>
    <mergeCell ref="Q72:Q74"/>
    <mergeCell ref="Q75:Q77"/>
    <mergeCell ref="Q103:Q105"/>
    <mergeCell ref="Q107:Q109"/>
    <mergeCell ref="Q110:Q112"/>
    <mergeCell ref="Q114:Q116"/>
    <mergeCell ref="Q117:Q119"/>
    <mergeCell ref="Q121:Q123"/>
    <mergeCell ref="Q124:Q126"/>
    <mergeCell ref="Q79:Q81"/>
    <mergeCell ref="Q82:Q84"/>
    <mergeCell ref="Q86:Q88"/>
    <mergeCell ref="Q89:Q91"/>
    <mergeCell ref="Q93:Q95"/>
    <mergeCell ref="Q96:Q98"/>
    <mergeCell ref="Q100:Q102"/>
    <mergeCell ref="K37:K39"/>
    <mergeCell ref="K40:K42"/>
    <mergeCell ref="K44:K46"/>
    <mergeCell ref="K47:K49"/>
    <mergeCell ref="K51:K53"/>
    <mergeCell ref="K54:K56"/>
    <mergeCell ref="K58:K60"/>
    <mergeCell ref="K61:K63"/>
    <mergeCell ref="K65:K67"/>
    <mergeCell ref="K79:K81"/>
    <mergeCell ref="K82:K84"/>
    <mergeCell ref="K86:K88"/>
    <mergeCell ref="K89:K91"/>
    <mergeCell ref="K93:K95"/>
    <mergeCell ref="K121:K123"/>
    <mergeCell ref="K124:K126"/>
    <mergeCell ref="K96:K98"/>
    <mergeCell ref="K100:K102"/>
    <mergeCell ref="K103:K105"/>
    <mergeCell ref="K107:K109"/>
    <mergeCell ref="K110:K112"/>
    <mergeCell ref="K114:K116"/>
    <mergeCell ref="K117:K119"/>
    <mergeCell ref="G65:G67"/>
    <mergeCell ref="G68:G70"/>
    <mergeCell ref="G40:G42"/>
    <mergeCell ref="G44:G46"/>
    <mergeCell ref="G47:G49"/>
    <mergeCell ref="G51:G53"/>
    <mergeCell ref="G54:G56"/>
    <mergeCell ref="G58:G60"/>
    <mergeCell ref="G61:G63"/>
    <mergeCell ref="E75:E77"/>
    <mergeCell ref="E79:E81"/>
    <mergeCell ref="E82:E84"/>
    <mergeCell ref="E58:E60"/>
    <mergeCell ref="E61:E63"/>
    <mergeCell ref="E65:E67"/>
    <mergeCell ref="E68:E70"/>
    <mergeCell ref="E72:E74"/>
    <mergeCell ref="G72:G74"/>
    <mergeCell ref="G75:G77"/>
    <mergeCell ref="O65:O67"/>
    <mergeCell ref="O68:O70"/>
    <mergeCell ref="O72:O74"/>
    <mergeCell ref="O75:O77"/>
    <mergeCell ref="O79:O81"/>
    <mergeCell ref="O82:O84"/>
    <mergeCell ref="O86:O88"/>
    <mergeCell ref="M103:M105"/>
    <mergeCell ref="M107:M109"/>
    <mergeCell ref="M110:M112"/>
    <mergeCell ref="M114:M116"/>
    <mergeCell ref="M117:M119"/>
    <mergeCell ref="M121:M123"/>
    <mergeCell ref="M124:M126"/>
    <mergeCell ref="O107:O109"/>
    <mergeCell ref="O110:O112"/>
    <mergeCell ref="O114:O116"/>
    <mergeCell ref="O117:O119"/>
    <mergeCell ref="O121:O123"/>
    <mergeCell ref="O124:O126"/>
    <mergeCell ref="O89:O91"/>
    <mergeCell ref="O93:O95"/>
    <mergeCell ref="M96:M98"/>
    <mergeCell ref="O96:O98"/>
    <mergeCell ref="M100:M102"/>
    <mergeCell ref="O100:O102"/>
    <mergeCell ref="O103:O105"/>
    <mergeCell ref="G79:G81"/>
    <mergeCell ref="G82:G84"/>
    <mergeCell ref="E86:E88"/>
    <mergeCell ref="G86:G88"/>
    <mergeCell ref="E89:E91"/>
    <mergeCell ref="G89:G91"/>
    <mergeCell ref="G93:G95"/>
    <mergeCell ref="G96:G98"/>
    <mergeCell ref="I114:I116"/>
    <mergeCell ref="I117:I119"/>
    <mergeCell ref="I121:I123"/>
    <mergeCell ref="I124:I126"/>
    <mergeCell ref="E93:E95"/>
    <mergeCell ref="E96:E98"/>
    <mergeCell ref="I96:I98"/>
    <mergeCell ref="I100:I102"/>
    <mergeCell ref="I103:I105"/>
    <mergeCell ref="I107:I109"/>
    <mergeCell ref="I110:I11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6"/>
      <c r="B1" s="8" t="s">
        <v>225</v>
      </c>
      <c r="C1" s="10" t="s">
        <v>226</v>
      </c>
      <c r="D1" s="8" t="s">
        <v>227</v>
      </c>
      <c r="E1" s="10" t="s">
        <v>228</v>
      </c>
      <c r="F1" s="8" t="s">
        <v>229</v>
      </c>
      <c r="G1" s="10" t="s">
        <v>230</v>
      </c>
      <c r="H1" s="8" t="s">
        <v>231</v>
      </c>
      <c r="I1" s="10" t="s">
        <v>232</v>
      </c>
      <c r="J1" s="8" t="s">
        <v>233</v>
      </c>
      <c r="K1" s="10" t="s">
        <v>234</v>
      </c>
      <c r="L1" s="8" t="s">
        <v>235</v>
      </c>
      <c r="M1" s="10" t="s">
        <v>236</v>
      </c>
      <c r="N1" s="8" t="s">
        <v>237</v>
      </c>
      <c r="O1" s="10" t="s">
        <v>238</v>
      </c>
      <c r="P1" s="8" t="s">
        <v>239</v>
      </c>
      <c r="Q1" s="10" t="s">
        <v>240</v>
      </c>
      <c r="R1" s="14"/>
    </row>
    <row r="2" ht="26.25" customHeight="1">
      <c r="A2" s="15"/>
      <c r="B2" s="16" t="str">
        <f>image("https://i.imgur.com/XIu6jDl.png")</f>
        <v/>
      </c>
      <c r="C2" s="20" t="str">
        <f>image("https://pokejungle.net/sprites/normal/"&amp;B1&amp;".png")</f>
        <v/>
      </c>
      <c r="D2" s="16" t="str">
        <f>image("https://i.imgur.com/XIu6jDl.png")</f>
        <v/>
      </c>
      <c r="E2" s="20" t="str">
        <f>image("https://pokejungle.net/sprites/normal/"&amp;D1&amp;".png")</f>
        <v/>
      </c>
      <c r="F2" s="16" t="str">
        <f>image("https://i.imgur.com/XIu6jDl.png")</f>
        <v/>
      </c>
      <c r="G2" s="20" t="str">
        <f>image("https://pokejungle.net/sprites/normal/"&amp;F1&amp;".png")</f>
        <v/>
      </c>
      <c r="H2" s="24" t="str">
        <f>image("https://i.imgur.com/lKAfx6k.png")</f>
        <v/>
      </c>
      <c r="I2" s="20" t="str">
        <f>image("https://pokejungle.net/sprites/normal/"&amp;H1&amp;".png")</f>
        <v/>
      </c>
      <c r="J2" s="16" t="str">
        <f>image("https://i.imgur.com/lKAfx6k.png")</f>
        <v/>
      </c>
      <c r="K2" s="20" t="str">
        <f>image("https://pokejungle.net/sprites/normal/"&amp;J1&amp;".png")</f>
        <v/>
      </c>
      <c r="L2" s="28" t="str">
        <f>image("https://i.imgur.com/lKAfx6k.png")</f>
        <v/>
      </c>
      <c r="M2" s="20" t="str">
        <f>image("https://pokejungle.net/sprites/normal/"&amp;L1&amp;".png")</f>
        <v/>
      </c>
      <c r="N2" s="16" t="str">
        <f>image("https://i.imgur.com/XNzvO0H.png")</f>
        <v/>
      </c>
      <c r="O2" s="20" t="str">
        <f>image("https://pokejungle.net/sprites/normal/"&amp;N1&amp;".png")</f>
        <v/>
      </c>
      <c r="P2" s="16" t="str">
        <f>image("https://i.imgur.com/XNzvO0H.png")</f>
        <v/>
      </c>
      <c r="Q2" s="20" t="str">
        <f>image("https://pokejungle.net/sprites/normal/"&amp;P1&amp;".png")</f>
        <v/>
      </c>
      <c r="R2" s="33"/>
    </row>
    <row r="3" ht="26.25" customHeight="1">
      <c r="A3" s="15"/>
      <c r="B3" s="38" t="str">
        <f>image("https://i.imgur.com/lpOVjtL.png")</f>
        <v/>
      </c>
      <c r="C3" s="36"/>
      <c r="D3" s="35" t="str">
        <f>image("https://i.imgur.com/lpOVjtL.png")</f>
        <v/>
      </c>
      <c r="E3" s="36"/>
      <c r="F3" s="35" t="str">
        <f>image("https://i.imgur.com/lpOVjtL.png")</f>
        <v/>
      </c>
      <c r="G3" s="36"/>
      <c r="H3" s="37" t="str">
        <f>image("https://i.imgur.com/RqSOGo6.png")</f>
        <v/>
      </c>
      <c r="I3" s="36"/>
      <c r="J3" s="38" t="str">
        <f>image("https://i.imgur.com/RqSOGo6.png")</f>
        <v/>
      </c>
      <c r="K3" s="36"/>
      <c r="L3" s="35" t="str">
        <f>image("https://i.imgur.com/RqSOGo6.png")</f>
        <v/>
      </c>
      <c r="M3" s="36"/>
      <c r="N3" s="38" t="str">
        <f>image("https://i.imgur.com/zpybKax.png")</f>
        <v/>
      </c>
      <c r="O3" s="36"/>
      <c r="P3" s="38" t="str">
        <f>image("https://i.imgur.com/zpybKax.png")</f>
        <v/>
      </c>
      <c r="Q3" s="36"/>
      <c r="R3" s="33"/>
    </row>
    <row r="4" ht="26.25" customHeight="1">
      <c r="A4" s="15"/>
      <c r="B4" s="40"/>
      <c r="C4" s="41"/>
      <c r="D4" s="40"/>
      <c r="E4" s="41"/>
      <c r="F4" s="40"/>
      <c r="G4" s="41"/>
      <c r="H4" s="40"/>
      <c r="I4" s="41"/>
      <c r="J4" s="40"/>
      <c r="K4" s="41"/>
      <c r="L4" s="43" t="str">
        <f>image("https://i.imgur.com/rJhTvoD.png")</f>
        <v/>
      </c>
      <c r="M4" s="41"/>
      <c r="N4" s="40"/>
      <c r="O4" s="41"/>
      <c r="P4" s="40"/>
      <c r="Q4" s="41"/>
      <c r="R4" s="33"/>
    </row>
    <row r="5" ht="26.25" customHeight="1">
      <c r="A5" s="15"/>
      <c r="B5" s="16" t="str">
        <f>image("https://i.imgur.com/XIu6jDl.png")</f>
        <v/>
      </c>
      <c r="C5" s="20" t="str">
        <f>image("https://pokejungle.net/sprites/shiny/"&amp;B1&amp;".png")</f>
        <v/>
      </c>
      <c r="D5" s="16" t="str">
        <f>image("https://i.imgur.com/XIu6jDl.png")</f>
        <v/>
      </c>
      <c r="E5" s="20" t="str">
        <f>image("https://pokejungle.net/sprites/shiny/"&amp;D1&amp;".png")</f>
        <v/>
      </c>
      <c r="F5" s="16" t="str">
        <f>image("https://i.imgur.com/XIu6jDl.png")</f>
        <v/>
      </c>
      <c r="G5" s="20" t="str">
        <f>image("https://pokejungle.net/sprites/shiny/"&amp;F1&amp;".png")</f>
        <v/>
      </c>
      <c r="H5" s="16" t="str">
        <f>image("https://i.imgur.com/rAI9Gyi.png")</f>
        <v/>
      </c>
      <c r="I5" s="20" t="str">
        <f>image("https://pokejungle.net/sprites/shiny/"&amp;H1&amp;".png")</f>
        <v/>
      </c>
      <c r="J5" s="16" t="str">
        <f>image("https://i.imgur.com/rAI9Gyi.png")</f>
        <v/>
      </c>
      <c r="K5" s="20" t="str">
        <f>image("https://pokejungle.net/sprites/shiny/"&amp;J1&amp;".png")</f>
        <v/>
      </c>
      <c r="L5" s="16" t="str">
        <f>image("https://i.imgur.com/rAI9Gyi.png")</f>
        <v/>
      </c>
      <c r="M5" s="20" t="str">
        <f>image("https://pokejungle.net/sprites/shiny/"&amp;L1&amp;".png")</f>
        <v/>
      </c>
      <c r="N5" s="16" t="str">
        <f>image("https://i.imgur.com/XNzvO0H.png")</f>
        <v/>
      </c>
      <c r="O5" s="20" t="str">
        <f>image("https://pokejungle.net/sprites/shiny/"&amp;N1&amp;".png")</f>
        <v/>
      </c>
      <c r="P5" s="16" t="str">
        <f>image("https://i.imgur.com/XNzvO0H.png")</f>
        <v/>
      </c>
      <c r="Q5" s="20" t="str">
        <f>image("https://pokejungle.net/sprites/shiny/"&amp;P1&amp;".png")</f>
        <v/>
      </c>
      <c r="R5" s="33"/>
    </row>
    <row r="6" ht="26.25" customHeight="1">
      <c r="A6" s="15"/>
      <c r="B6" s="38" t="str">
        <f>image("https://i.imgur.com/zpybKax.png")</f>
        <v/>
      </c>
      <c r="C6" s="36"/>
      <c r="D6" s="46" t="str">
        <f>image("https://i.imgur.com/zpybKax.png")</f>
        <v/>
      </c>
      <c r="E6" s="36"/>
      <c r="F6" s="35" t="str">
        <f>image("https://i.imgur.com/zpybKax.png")</f>
        <v/>
      </c>
      <c r="G6" s="36"/>
      <c r="H6" s="46" t="str">
        <f>image("https://i.imgur.com/a9HBljD.png")</f>
        <v/>
      </c>
      <c r="I6" s="36"/>
      <c r="J6" s="38" t="str">
        <f>image("https://i.imgur.com/a9HBljD.png")</f>
        <v/>
      </c>
      <c r="K6" s="36"/>
      <c r="L6" s="46" t="str">
        <f>image("https://i.imgur.com/a9HBljD.png")</f>
        <v/>
      </c>
      <c r="M6" s="36"/>
      <c r="N6" s="38" t="str">
        <f>image("https://i.imgur.com/zpybKax.png")</f>
        <v/>
      </c>
      <c r="O6" s="36"/>
      <c r="P6" s="38" t="str">
        <f>image("https://i.imgur.com/zpybKax.png")</f>
        <v/>
      </c>
      <c r="Q6" s="36"/>
      <c r="R6" s="33"/>
    </row>
    <row r="7" ht="26.25" customHeight="1">
      <c r="A7" s="15"/>
      <c r="B7" s="43" t="str">
        <f>image("https://i.imgur.com/eru43o1.png")</f>
        <v/>
      </c>
      <c r="C7" s="41"/>
      <c r="D7" s="43" t="str">
        <f>image("https://i.imgur.com/eru43o1.png")</f>
        <v/>
      </c>
      <c r="E7" s="41"/>
      <c r="F7" s="40"/>
      <c r="G7" s="41"/>
      <c r="H7" s="43"/>
      <c r="I7" s="41"/>
      <c r="J7" s="40"/>
      <c r="K7" s="41"/>
      <c r="L7" s="43"/>
      <c r="M7" s="41"/>
      <c r="N7" s="43" t="str">
        <f>image("https://i.imgur.com/eru43o1.png")</f>
        <v/>
      </c>
      <c r="O7" s="41"/>
      <c r="P7" s="43" t="str">
        <f>image("https://i.imgur.com/eru43o1.png")</f>
        <v/>
      </c>
      <c r="Q7" s="41"/>
      <c r="R7" s="33"/>
    </row>
    <row r="8" ht="18.75" customHeight="1">
      <c r="A8" s="6"/>
      <c r="B8" s="8" t="s">
        <v>302</v>
      </c>
      <c r="C8" s="10" t="s">
        <v>303</v>
      </c>
      <c r="D8" s="8" t="s">
        <v>304</v>
      </c>
      <c r="E8" s="10" t="s">
        <v>305</v>
      </c>
      <c r="F8" s="8" t="s">
        <v>306</v>
      </c>
      <c r="G8" s="10" t="s">
        <v>307</v>
      </c>
      <c r="H8" s="8" t="s">
        <v>308</v>
      </c>
      <c r="I8" s="10" t="s">
        <v>309</v>
      </c>
      <c r="J8" s="8" t="s">
        <v>310</v>
      </c>
      <c r="K8" s="10" t="s">
        <v>311</v>
      </c>
      <c r="L8" s="8" t="s">
        <v>312</v>
      </c>
      <c r="M8" s="10" t="s">
        <v>313</v>
      </c>
      <c r="N8" s="8" t="s">
        <v>314</v>
      </c>
      <c r="O8" s="10" t="s">
        <v>315</v>
      </c>
      <c r="P8" s="8" t="s">
        <v>316</v>
      </c>
      <c r="Q8" s="10" t="s">
        <v>317</v>
      </c>
      <c r="R8" s="14"/>
    </row>
    <row r="9" ht="26.25" customHeight="1">
      <c r="A9" s="15"/>
      <c r="B9" s="24" t="str">
        <f>image("https://i.imgur.com/JDgAgAO.png")</f>
        <v/>
      </c>
      <c r="C9" s="20" t="str">
        <f>image("https://pokejungle.net/sprites/normal/"&amp;B8&amp;".png")</f>
        <v/>
      </c>
      <c r="D9" s="16" t="str">
        <f>image("https://i.imgur.com/JOd7Boe.png")</f>
        <v/>
      </c>
      <c r="E9" s="20" t="str">
        <f>image("https://pokejungle.net/sprites/normal/"&amp;D8&amp;"-f.png")</f>
        <v/>
      </c>
      <c r="F9" s="16" t="str">
        <f>image("https://i.imgur.com/JOd7Boe.png")</f>
        <v/>
      </c>
      <c r="G9" s="20" t="str">
        <f>image("https://pokejungle.net/sprites/normal/"&amp;F8&amp;"-f.png")</f>
        <v/>
      </c>
      <c r="H9" s="24" t="str">
        <f>image("https://i.imgur.com/JOd7Boe.png")</f>
        <v/>
      </c>
      <c r="I9" s="20" t="str">
        <f>image("https://pokejungle.net/sprites/normal/"&amp;H8&amp;"-f.png")</f>
        <v/>
      </c>
      <c r="J9" s="16" t="str">
        <f>image("https://i.imgur.com/lpOVjtL.png")</f>
        <v/>
      </c>
      <c r="K9" s="20" t="str">
        <f>image("https://pokejungle.net/sprites/normal/"&amp;J8&amp;".png")</f>
        <v/>
      </c>
      <c r="L9" s="28" t="str">
        <f>image("https://i.imgur.com/lpOVjtL.png")</f>
        <v/>
      </c>
      <c r="M9" s="20" t="str">
        <f>image("https://pokejungle.net/sprites/normal/"&amp;L8&amp;".png")</f>
        <v/>
      </c>
      <c r="N9" s="16" t="str">
        <f>image("https://i.imgur.com/EkqYYOB.png")</f>
        <v/>
      </c>
      <c r="O9" s="20" t="str">
        <f>image("https://pokejungle.net/sprites/normal/"&amp;N8&amp;"-f.png")</f>
        <v/>
      </c>
      <c r="P9" s="16" t="str">
        <f>image("https://i.imgur.com/EkqYYOB.png")</f>
        <v/>
      </c>
      <c r="Q9" s="20" t="str">
        <f>image("https://pokejungle.net/sprites/normal/"&amp;P8&amp;"-f.png")</f>
        <v/>
      </c>
      <c r="R9" s="33"/>
    </row>
    <row r="10" ht="26.25" customHeight="1">
      <c r="A10" s="15"/>
      <c r="B10" s="35" t="str">
        <f>image("https://i.imgur.com/beHgI95.png")</f>
        <v/>
      </c>
      <c r="C10" s="36"/>
      <c r="D10" s="35" t="str">
        <f>image("https://i.imgur.com/EkqYYOB.png")</f>
        <v/>
      </c>
      <c r="E10" s="36"/>
      <c r="F10" s="35" t="str">
        <f>image("https://i.imgur.com/EkqYYOB.png")</f>
        <v/>
      </c>
      <c r="G10" s="36"/>
      <c r="H10" s="37" t="str">
        <f>image("https://i.imgur.com/EkqYYOB.png")</f>
        <v/>
      </c>
      <c r="I10" s="36"/>
      <c r="J10" s="38" t="str">
        <f>image("https://i.imgur.com/XIu6jDl.png")</f>
        <v/>
      </c>
      <c r="K10" s="36"/>
      <c r="L10" s="35" t="str">
        <f>image("https://i.imgur.com/XIu6jDl.png")</f>
        <v/>
      </c>
      <c r="M10" s="36"/>
      <c r="N10" s="38" t="str">
        <f>image("https://i.imgur.com/RqSOGo6.png")</f>
        <v/>
      </c>
      <c r="O10" s="36"/>
      <c r="P10" s="38" t="str">
        <f>image("https://i.imgur.com/RqSOGo6.png")</f>
        <v/>
      </c>
      <c r="Q10" s="36"/>
      <c r="R10" s="33"/>
    </row>
    <row r="11" ht="26.25" customHeight="1">
      <c r="A11" s="15"/>
      <c r="B11" s="40" t="str">
        <f>image("https://i.imgur.com/NkILW1J.png")</f>
        <v/>
      </c>
      <c r="C11" s="41"/>
      <c r="D11" s="40"/>
      <c r="E11" s="41"/>
      <c r="F11" s="40"/>
      <c r="G11" s="41"/>
      <c r="H11" s="40"/>
      <c r="I11" s="41"/>
      <c r="J11" s="40" t="str">
        <f>image("https://i.imgur.com/EkqYYOB.png")</f>
        <v/>
      </c>
      <c r="K11" s="41"/>
      <c r="L11" s="43" t="str">
        <f>image("https://i.imgur.com/EkqYYOB.png")</f>
        <v/>
      </c>
      <c r="M11" s="41"/>
      <c r="N11" s="40" t="str">
        <f>image("https://i.imgur.com/GyNf8BH.png")</f>
        <v/>
      </c>
      <c r="O11" s="41"/>
      <c r="P11" s="40" t="str">
        <f>image("https://i.imgur.com/GyNf8BH.png")</f>
        <v/>
      </c>
      <c r="Q11" s="41"/>
      <c r="R11" s="33"/>
    </row>
    <row r="12" ht="26.25" customHeight="1">
      <c r="A12" s="15"/>
      <c r="B12" s="16" t="str">
        <f>image("https://i.imgur.com/XNzvO0H.png")</f>
        <v/>
      </c>
      <c r="C12" s="20" t="str">
        <f>image("https://pokejungle.net/sprites/shiny/"&amp;B8&amp;".png")</f>
        <v/>
      </c>
      <c r="D12" s="16" t="str">
        <f>image("https://i.imgur.com/lpOVjtL.png")</f>
        <v/>
      </c>
      <c r="E12" s="20" t="str">
        <f>image("https://pokejungle.net/sprites/shiny/"&amp;D8&amp;".png")</f>
        <v/>
      </c>
      <c r="F12" s="16" t="str">
        <f>image("https://i.imgur.com/lpOVjtL.png")</f>
        <v/>
      </c>
      <c r="G12" s="20" t="str">
        <f>image("https://pokejungle.net/sprites/shiny/"&amp;F8&amp;".png")</f>
        <v/>
      </c>
      <c r="H12" s="16" t="str">
        <f>image("https://i.imgur.com/lpOVjtL.png")</f>
        <v/>
      </c>
      <c r="I12" s="20" t="str">
        <f>image("https://pokejungle.net/sprites/shiny/"&amp;H8&amp;".png")</f>
        <v/>
      </c>
      <c r="J12" s="16" t="str">
        <f>image("https://i.imgur.com/lpOVjtL.png")</f>
        <v/>
      </c>
      <c r="K12" s="20" t="str">
        <f>image("https://pokejungle.net/sprites/shiny/"&amp;J8&amp;"-f.png")</f>
        <v/>
      </c>
      <c r="L12" s="16" t="str">
        <f>image("https://i.imgur.com/lpOVjtL.png")</f>
        <v/>
      </c>
      <c r="M12" s="20" t="str">
        <f>image("https://pokejungle.net/sprites/shiny/"&amp;L8&amp;"-f.png")</f>
        <v/>
      </c>
      <c r="N12" s="16" t="str">
        <f>image("https://i.imgur.com/rJhTvoD.png")</f>
        <v/>
      </c>
      <c r="O12" s="20" t="str">
        <f>image("https://pokejungle.net/sprites/shiny/"&amp;N8&amp;".png")</f>
        <v/>
      </c>
      <c r="P12" s="16" t="str">
        <f>image("https://i.imgur.com/rJhTvoD.png")</f>
        <v/>
      </c>
      <c r="Q12" s="20" t="str">
        <f>image("https://pokejungle.net/sprites/shiny/"&amp;P8&amp;".png")</f>
        <v/>
      </c>
      <c r="R12" s="33"/>
    </row>
    <row r="13" ht="26.25" customHeight="1">
      <c r="A13" s="15"/>
      <c r="B13" s="38" t="str">
        <f>image("https://i.imgur.com/zpybKax.png")</f>
        <v/>
      </c>
      <c r="C13" s="36"/>
      <c r="D13" s="46" t="str">
        <f>image("https://i.imgur.com/EkqYYOB.png")</f>
        <v/>
      </c>
      <c r="E13" s="36"/>
      <c r="F13" s="35" t="str">
        <f>image("https://i.imgur.com/EkqYYOB.png")</f>
        <v/>
      </c>
      <c r="G13" s="36"/>
      <c r="H13" s="46" t="str">
        <f>image("https://i.imgur.com/EkqYYOB.png")</f>
        <v/>
      </c>
      <c r="I13" s="36"/>
      <c r="J13" s="38" t="str">
        <f>image("https://i.imgur.com/EkqYYOB.png")</f>
        <v/>
      </c>
      <c r="K13" s="36"/>
      <c r="L13" s="46" t="str">
        <f>image("https://i.imgur.com/EkqYYOB.png")</f>
        <v/>
      </c>
      <c r="M13" s="36"/>
      <c r="N13" s="38" t="str">
        <f>image("https://i.imgur.com/EkqYYOB.png")</f>
        <v/>
      </c>
      <c r="O13" s="36"/>
      <c r="P13" s="38" t="str">
        <f>image("https://i.imgur.com/EkqYYOB.png")</f>
        <v/>
      </c>
      <c r="Q13" s="36"/>
      <c r="R13" s="33"/>
    </row>
    <row r="14" ht="26.25" customHeight="1">
      <c r="A14" s="15"/>
      <c r="B14" s="43" t="str">
        <f>image("https://i.imgur.com/eru43o1.png")</f>
        <v/>
      </c>
      <c r="C14" s="41"/>
      <c r="D14" s="43" t="str">
        <f>image("https://i.imgur.com/XIu6jDl.png")</f>
        <v/>
      </c>
      <c r="E14" s="41"/>
      <c r="F14" s="40" t="str">
        <f>image("https://i.imgur.com/XIu6jDl.png")</f>
        <v/>
      </c>
      <c r="G14" s="41"/>
      <c r="H14" s="43" t="str">
        <f>image("https://i.imgur.com/XIu6jDl.png")</f>
        <v/>
      </c>
      <c r="I14" s="41"/>
      <c r="J14" s="40" t="str">
        <f>image("https://i.imgur.com/XIu6jDl.png")</f>
        <v/>
      </c>
      <c r="K14" s="41"/>
      <c r="L14" s="43" t="str">
        <f>image("https://i.imgur.com/XIu6jDl.png")</f>
        <v/>
      </c>
      <c r="M14" s="41"/>
      <c r="N14" s="40"/>
      <c r="O14" s="41"/>
      <c r="P14" s="40"/>
      <c r="Q14" s="41"/>
      <c r="R14" s="33"/>
    </row>
    <row r="15" ht="18.75" customHeight="1">
      <c r="A15" s="6"/>
      <c r="B15" s="8" t="s">
        <v>363</v>
      </c>
      <c r="C15" s="10" t="s">
        <v>364</v>
      </c>
      <c r="D15" s="8" t="s">
        <v>365</v>
      </c>
      <c r="E15" s="10" t="s">
        <v>366</v>
      </c>
      <c r="F15" s="8" t="s">
        <v>367</v>
      </c>
      <c r="G15" s="10" t="s">
        <v>368</v>
      </c>
      <c r="H15" s="8" t="s">
        <v>369</v>
      </c>
      <c r="I15" s="10" t="s">
        <v>370</v>
      </c>
      <c r="J15" s="8" t="s">
        <v>371</v>
      </c>
      <c r="K15" s="10" t="s">
        <v>372</v>
      </c>
      <c r="L15" s="8" t="s">
        <v>373</v>
      </c>
      <c r="M15" s="10" t="s">
        <v>374</v>
      </c>
      <c r="N15" s="8" t="s">
        <v>375</v>
      </c>
      <c r="O15" s="10" t="s">
        <v>376</v>
      </c>
      <c r="P15" s="8" t="s">
        <v>377</v>
      </c>
      <c r="Q15" s="10" t="s">
        <v>378</v>
      </c>
      <c r="R15" s="14"/>
    </row>
    <row r="16" ht="26.25" customHeight="1">
      <c r="A16" s="15"/>
      <c r="B16" s="16" t="str">
        <f>image("https://i.imgur.com/zpybKax.png")</f>
        <v/>
      </c>
      <c r="C16" s="20" t="str">
        <f>image("https://pokejungle.net/sprites/normal/"&amp;B15&amp;".png")</f>
        <v/>
      </c>
      <c r="D16" s="16" t="str">
        <f>image("https://i.imgur.com/zpybKax.png")</f>
        <v/>
      </c>
      <c r="E16" s="20" t="str">
        <f>image("https://pokejungle.net/sprites/normal/"&amp;D15&amp;".png")</f>
        <v/>
      </c>
      <c r="F16" s="16" t="str">
        <f>image("https://i.imgur.com/zpybKax.png")</f>
        <v/>
      </c>
      <c r="G16" s="20" t="str">
        <f>image("https://pokejungle.net/sprites/normal/"&amp;F15&amp;".png")</f>
        <v/>
      </c>
      <c r="H16" s="24" t="str">
        <f>image("https://i.imgur.com/XIu6jDl.png")</f>
        <v/>
      </c>
      <c r="I16" s="20" t="str">
        <f>image("https://pokejungle.net/sprites/normal/"&amp;H15&amp;".png")</f>
        <v/>
      </c>
      <c r="J16" s="16" t="str">
        <f>image("https://i.imgur.com/VQL4lPa.png")</f>
        <v/>
      </c>
      <c r="K16" s="20" t="str">
        <f>image("https://pokejungle.net/sprites/normal/"&amp;J15&amp;"-f.png")</f>
        <v/>
      </c>
      <c r="L16" s="28" t="str">
        <f>image("https://i.imgur.com/SF5CZ6U.png")</f>
        <v/>
      </c>
      <c r="M16" s="20" t="str">
        <f>image("https://pokejungle.net/sprites/normal/"&amp;L15&amp;".png")</f>
        <v/>
      </c>
      <c r="N16" s="16" t="str">
        <f>image("https://i.imgur.com/SF5CZ6U.png")</f>
        <v/>
      </c>
      <c r="O16" s="20" t="str">
        <f>image("https://pokejungle.net/sprites/normal/"&amp;N15&amp;".png")</f>
        <v/>
      </c>
      <c r="P16" s="16" t="str">
        <f>image("https://i.imgur.com/beHgI95.png")</f>
        <v/>
      </c>
      <c r="Q16" s="20" t="str">
        <f>image("https://pokejungle.net/sprites/normal/"&amp;P15&amp;".png")</f>
        <v/>
      </c>
      <c r="R16" s="33"/>
    </row>
    <row r="17" ht="26.25" customHeight="1">
      <c r="A17" s="15"/>
      <c r="B17" s="38" t="str">
        <f>image("https://i.imgur.com/JDgAgAO.png")</f>
        <v/>
      </c>
      <c r="C17" s="36"/>
      <c r="D17" s="35" t="str">
        <f>image("https://i.imgur.com/JDgAgAO.png")</f>
        <v/>
      </c>
      <c r="E17" s="36"/>
      <c r="F17" s="35" t="str">
        <f>image("https://i.imgur.com/JDgAgAO.png")</f>
        <v/>
      </c>
      <c r="G17" s="36"/>
      <c r="H17" s="37"/>
      <c r="I17" s="36"/>
      <c r="J17" s="38" t="str">
        <f>image("https://i.imgur.com/SF5CZ6U.png")</f>
        <v/>
      </c>
      <c r="K17" s="36"/>
      <c r="L17" s="35" t="str">
        <f>image("https://i.imgur.com/XzidFHI.png")</f>
        <v/>
      </c>
      <c r="M17" s="36"/>
      <c r="N17" s="38" t="str">
        <f>image("https://i.imgur.com/XzidFHI.png")</f>
        <v/>
      </c>
      <c r="O17" s="36"/>
      <c r="P17" s="46" t="str">
        <f>image("https://i.imgur.com/NkILW1J.png")</f>
        <v/>
      </c>
      <c r="Q17" s="36"/>
      <c r="R17" s="33"/>
    </row>
    <row r="18" ht="26.25" customHeight="1">
      <c r="A18" s="15"/>
      <c r="B18" s="43" t="str">
        <f>image("https://i.imgur.com/eru43o1.png")</f>
        <v/>
      </c>
      <c r="C18" s="41"/>
      <c r="D18" s="43" t="str">
        <f>image("https://i.imgur.com/eru43o1.png")</f>
        <v/>
      </c>
      <c r="E18" s="41"/>
      <c r="F18" s="43" t="str">
        <f>image("https://i.imgur.com/eru43o1.png")</f>
        <v/>
      </c>
      <c r="G18" s="41"/>
      <c r="H18" s="40"/>
      <c r="I18" s="41"/>
      <c r="J18" s="40" t="str">
        <f t="shared" ref="J18:J19" si="1">image("https://i.imgur.com/XIu6jDl.png")</f>
        <v/>
      </c>
      <c r="K18" s="41"/>
      <c r="L18" s="40" t="str">
        <f>image("https://i.imgur.com/NkILW1J.png")</f>
        <v/>
      </c>
      <c r="M18" s="41"/>
      <c r="N18" s="40" t="str">
        <f>image("https://i.imgur.com/NkILW1J.png")</f>
        <v/>
      </c>
      <c r="O18" s="41"/>
      <c r="P18" s="40"/>
      <c r="Q18" s="41"/>
      <c r="R18" s="33"/>
    </row>
    <row r="19" ht="26.25" customHeight="1">
      <c r="A19" s="15"/>
      <c r="B19" s="16" t="str">
        <f>image("https://i.imgur.com/beHgI95.png")</f>
        <v/>
      </c>
      <c r="C19" s="20" t="str">
        <f>image("https://pokejungle.net/sprites/shiny/"&amp;B15&amp;"-f.png")</f>
        <v/>
      </c>
      <c r="D19" s="16" t="str">
        <f>image("https://i.imgur.com/beHgI95.png")</f>
        <v/>
      </c>
      <c r="E19" s="20" t="str">
        <f>image("https://pokejungle.net/sprites/shiny/"&amp;D15&amp;"-f.png")</f>
        <v/>
      </c>
      <c r="F19" s="16" t="str">
        <f>image("https://i.imgur.com/beHgI95.png")</f>
        <v/>
      </c>
      <c r="G19" s="20" t="str">
        <f>image("https://pokejungle.net/sprites/shiny/"&amp;F15&amp;"-f.png")</f>
        <v/>
      </c>
      <c r="H19" s="16" t="str">
        <f>image("https://i.imgur.com/XIu6jDl.png")</f>
        <v/>
      </c>
      <c r="I19" s="20" t="str">
        <f>image("https://pokejungle.net/sprites/shiny/"&amp;H15&amp;".png")</f>
        <v/>
      </c>
      <c r="J19" s="16" t="str">
        <f t="shared" si="1"/>
        <v/>
      </c>
      <c r="K19" s="20" t="str">
        <f>image("https://pokejungle.net/sprites/shiny/"&amp;J15&amp;".png")</f>
        <v/>
      </c>
      <c r="L19" s="16" t="str">
        <f>image("https://i.imgur.com/JOd7Boe.png")</f>
        <v/>
      </c>
      <c r="M19" s="20" t="str">
        <f>image("https://pokejungle.net/sprites/shiny/"&amp;L15&amp;".png")</f>
        <v/>
      </c>
      <c r="N19" s="16" t="str">
        <f>image("https://i.imgur.com/JOd7Boe.png")</f>
        <v/>
      </c>
      <c r="O19" s="20" t="str">
        <f>image("https://pokejungle.net/sprites/shiny/"&amp;N15&amp;".png")</f>
        <v/>
      </c>
      <c r="P19" s="16" t="str">
        <f>image("https://i.imgur.com/beHgI95.png")</f>
        <v/>
      </c>
      <c r="Q19" s="20" t="str">
        <f>image("https://pokejungle.net/sprites/shiny/"&amp;P15&amp;".png")</f>
        <v/>
      </c>
      <c r="R19" s="33"/>
    </row>
    <row r="20" ht="26.25" customHeight="1">
      <c r="A20" s="15"/>
      <c r="B20" s="38" t="str">
        <f>image("https://i.imgur.com/rJhTvoD.png")</f>
        <v/>
      </c>
      <c r="C20" s="36"/>
      <c r="D20" s="46" t="str">
        <f>image("https://i.imgur.com/rJhTvoD.png")</f>
        <v/>
      </c>
      <c r="E20" s="36"/>
      <c r="F20" s="35" t="str">
        <f>image("https://i.imgur.com/rJhTvoD.png")</f>
        <v/>
      </c>
      <c r="G20" s="36"/>
      <c r="H20" s="46" t="str">
        <f>image("https://i.imgur.com/XI18XGu.png")</f>
        <v/>
      </c>
      <c r="I20" s="36"/>
      <c r="J20" s="38" t="str">
        <f>image("https://i.imgur.com/EkqYYOB.png")</f>
        <v/>
      </c>
      <c r="K20" s="36"/>
      <c r="L20" s="46" t="str">
        <f>image("https://i.imgur.com/EkqYYOB.png")</f>
        <v/>
      </c>
      <c r="M20" s="36"/>
      <c r="N20" s="38" t="str">
        <f>image("https://i.imgur.com/EkqYYOB.png")</f>
        <v/>
      </c>
      <c r="O20" s="36"/>
      <c r="P20" s="38" t="str">
        <f>image("https://i.imgur.com/JDgAgAO.png")</f>
        <v/>
      </c>
      <c r="Q20" s="36"/>
      <c r="R20" s="33"/>
    </row>
    <row r="21" ht="26.25" customHeight="1">
      <c r="A21" s="15"/>
      <c r="B21" s="40"/>
      <c r="C21" s="41"/>
      <c r="D21" s="43"/>
      <c r="E21" s="41"/>
      <c r="F21" s="40"/>
      <c r="G21" s="41"/>
      <c r="H21" s="43"/>
      <c r="I21" s="41"/>
      <c r="J21" s="40" t="str">
        <f>image("https://i.imgur.com/N2Wqr43.png")</f>
        <v/>
      </c>
      <c r="K21" s="41"/>
      <c r="L21" s="43" t="str">
        <f>image("https://i.imgur.com/GyNf8BH.png")</f>
        <v/>
      </c>
      <c r="M21" s="41"/>
      <c r="N21" s="40" t="str">
        <f>image("https://i.imgur.com/GyNf8BH.png")</f>
        <v/>
      </c>
      <c r="O21" s="41"/>
      <c r="P21" s="40" t="str">
        <f>image("https://i.imgur.com/NkILW1J.png")</f>
        <v/>
      </c>
      <c r="Q21" s="41"/>
      <c r="R21" s="33"/>
    </row>
    <row r="22" ht="18.75" customHeight="1">
      <c r="A22" s="6"/>
      <c r="B22" s="8" t="s">
        <v>426</v>
      </c>
      <c r="C22" s="10" t="s">
        <v>427</v>
      </c>
      <c r="D22" s="8" t="s">
        <v>428</v>
      </c>
      <c r="E22" s="10" t="s">
        <v>429</v>
      </c>
      <c r="F22" s="8" t="s">
        <v>428</v>
      </c>
      <c r="G22" s="10" t="s">
        <v>430</v>
      </c>
      <c r="H22" s="8" t="s">
        <v>428</v>
      </c>
      <c r="I22" s="10" t="s">
        <v>431</v>
      </c>
      <c r="J22" s="8" t="s">
        <v>432</v>
      </c>
      <c r="K22" s="68" t="s">
        <v>433</v>
      </c>
      <c r="L22" s="8" t="s">
        <v>432</v>
      </c>
      <c r="M22" s="68" t="s">
        <v>434</v>
      </c>
      <c r="N22" s="8" t="s">
        <v>432</v>
      </c>
      <c r="O22" s="68" t="s">
        <v>435</v>
      </c>
      <c r="P22" s="8" t="s">
        <v>436</v>
      </c>
      <c r="Q22" s="10" t="s">
        <v>437</v>
      </c>
      <c r="R22" s="14"/>
    </row>
    <row r="23" ht="26.25" customHeight="1">
      <c r="A23" s="15"/>
      <c r="B23" s="16" t="str">
        <f>image("https://i.imgur.com/beHgI95.png")</f>
        <v/>
      </c>
      <c r="C23" s="20" t="str">
        <f>image("https://pokejungle.net/sprites/normal/"&amp;B22&amp;".png")</f>
        <v/>
      </c>
      <c r="D23" s="16" t="str">
        <f>image("https://i.imgur.com/XIu6jDl.png")</f>
        <v/>
      </c>
      <c r="E23" s="20" t="str">
        <f>image("https://pokejungle.net/sprites/normal/"&amp;D22&amp;".png")</f>
        <v/>
      </c>
      <c r="F23" s="16" t="str">
        <f>image("https://i.imgur.com/beHgI95.png")</f>
        <v/>
      </c>
      <c r="G23" s="20" t="str">
        <f>image("https://pokejungle.net/sprites/normal/"&amp;F22&amp;"-1.png")</f>
        <v/>
      </c>
      <c r="H23" s="24" t="str">
        <f>image("https://i.imgur.com/rAI9Gyi.png")</f>
        <v/>
      </c>
      <c r="I23" s="20" t="str">
        <f>image("https://pokejungle.net/sprites/normal/"&amp;H22&amp;"-2.png")</f>
        <v/>
      </c>
      <c r="J23" s="16" t="str">
        <f>image("https://i.imgur.com/XIu6jDl.png")</f>
        <v/>
      </c>
      <c r="K23" s="20" t="str">
        <f>image("https://pokejungle.net/sprites/normal/"&amp;J22&amp;".png")</f>
        <v/>
      </c>
      <c r="L23" s="28" t="str">
        <f>image("https://i.imgur.com/beHgI95.png")</f>
        <v/>
      </c>
      <c r="M23" s="20" t="str">
        <f>image("https://pokejungle.net/sprites/normal/"&amp;L22&amp;"-1.png")</f>
        <v/>
      </c>
      <c r="N23" s="16" t="str">
        <f>image("https://i.imgur.com/rAI9Gyi.png")</f>
        <v/>
      </c>
      <c r="O23" s="20" t="str">
        <f>image("https://pokejungle.net/sprites/normal/"&amp;N22&amp;"-2.png")</f>
        <v/>
      </c>
      <c r="P23" s="16" t="str">
        <f>image("https://i.imgur.com/RqSOGo6.png")</f>
        <v/>
      </c>
      <c r="Q23" s="20" t="str">
        <f>image("https://pokejungle.net/sprites/normal/"&amp;P22&amp;".png")</f>
        <v/>
      </c>
      <c r="R23" s="33"/>
    </row>
    <row r="24" ht="26.25" customHeight="1">
      <c r="A24" s="15"/>
      <c r="B24" s="46" t="str">
        <f>image("https://i.imgur.com/NkILW1J.png")</f>
        <v/>
      </c>
      <c r="C24" s="36"/>
      <c r="D24" s="35" t="str">
        <f>image("https://i.imgur.com/VQL4lPa.png")</f>
        <v/>
      </c>
      <c r="E24" s="36"/>
      <c r="F24" s="35" t="str">
        <f>image("https://i.imgur.com/rJhTvoD.png")</f>
        <v/>
      </c>
      <c r="G24" s="36"/>
      <c r="H24" s="37" t="str">
        <f>image("https://i.imgur.com/a9HBljD.png")</f>
        <v/>
      </c>
      <c r="I24" s="36"/>
      <c r="J24" s="38" t="str">
        <f>image("https://i.imgur.com/VQL4lPa.png")</f>
        <v/>
      </c>
      <c r="K24" s="36"/>
      <c r="L24" s="35" t="str">
        <f>image("https://i.imgur.com/rJhTvoD.png")</f>
        <v/>
      </c>
      <c r="M24" s="36"/>
      <c r="N24" s="38" t="str">
        <f>image("https://i.imgur.com/a9HBljD.png")</f>
        <v/>
      </c>
      <c r="O24" s="36"/>
      <c r="P24" s="38" t="str">
        <f>image("https://i.imgur.com/rJhTvoD.png")</f>
        <v/>
      </c>
      <c r="Q24" s="36"/>
      <c r="R24" s="33"/>
    </row>
    <row r="25" ht="26.25" customHeight="1">
      <c r="A25" s="15"/>
      <c r="B25" s="40"/>
      <c r="C25" s="41"/>
      <c r="D25" s="40" t="str">
        <f>image("https://i.imgur.com/N2Wqr43.png")</f>
        <v/>
      </c>
      <c r="E25" s="41"/>
      <c r="F25" s="40"/>
      <c r="G25" s="41"/>
      <c r="H25" s="40"/>
      <c r="I25" s="41"/>
      <c r="J25" s="40" t="str">
        <f>image("https://i.imgur.com/N2Wqr43.png")</f>
        <v/>
      </c>
      <c r="K25" s="41"/>
      <c r="L25" s="43" t="str">
        <f>image("https://i.imgur.com/RqSOGo6.png")</f>
        <v/>
      </c>
      <c r="M25" s="41"/>
      <c r="N25" s="40"/>
      <c r="O25" s="41"/>
      <c r="P25" s="40"/>
      <c r="Q25" s="41"/>
      <c r="R25" s="33"/>
    </row>
    <row r="26" ht="26.25" customHeight="1">
      <c r="A26" s="15"/>
      <c r="B26" s="16" t="str">
        <f>image("https://i.imgur.com/beHgI95.png")</f>
        <v/>
      </c>
      <c r="C26" s="20" t="str">
        <f>image("https://pokejungle.net/sprites/shiny/"&amp;B22&amp;".png")</f>
        <v/>
      </c>
      <c r="D26" s="16" t="str">
        <f>image("https://i.imgur.com/XIu6jDl.png")</f>
        <v/>
      </c>
      <c r="E26" s="20" t="str">
        <f>image("https://pokejungle.net/sprites/shiny/"&amp;D22&amp;".png")</f>
        <v/>
      </c>
      <c r="F26" s="16" t="str">
        <f>image("https://i.imgur.com/beHgI95.png")</f>
        <v/>
      </c>
      <c r="G26" s="20" t="str">
        <f>image("https://pokejungle.net/sprites/shiny/"&amp;F22&amp;"-1.png")</f>
        <v/>
      </c>
      <c r="H26" s="16" t="str">
        <f>image("https://i.imgur.com/rAI9Gyi.png")</f>
        <v/>
      </c>
      <c r="I26" s="20" t="str">
        <f>image("https://pokejungle.net/sprites/shiny/"&amp;H22&amp;"-2.png")</f>
        <v/>
      </c>
      <c r="J26" s="16" t="str">
        <f>image("https://i.imgur.com/XIu6jDl.png")</f>
        <v/>
      </c>
      <c r="K26" s="20" t="str">
        <f>image("https://pokejungle.net/sprites/shiny/"&amp;J22&amp;".png")</f>
        <v/>
      </c>
      <c r="L26" s="16" t="str">
        <f>image("https://i.imgur.com/beHgI95.png")</f>
        <v/>
      </c>
      <c r="M26" s="20" t="str">
        <f>image("https://pokejungle.net/sprites/shiny/"&amp;L22&amp;"-1.png")</f>
        <v/>
      </c>
      <c r="N26" s="16" t="str">
        <f>image("https://i.imgur.com/rAI9Gyi.png")</f>
        <v/>
      </c>
      <c r="O26" s="20" t="str">
        <f>image("https://pokejungle.net/sprites/shiny/"&amp;N22&amp;"-2.png")</f>
        <v/>
      </c>
      <c r="P26" s="16" t="str">
        <f>image("https://i.imgur.com/zpybKax.png")</f>
        <v/>
      </c>
      <c r="Q26" s="20" t="str">
        <f>image("https://pokejungle.net/sprites/shiny/"&amp;P22&amp;".png")</f>
        <v/>
      </c>
      <c r="R26" s="33"/>
    </row>
    <row r="27" ht="26.25" customHeight="1">
      <c r="A27" s="15"/>
      <c r="B27" s="38" t="str">
        <f>image("https://i.imgur.com/JDgAgAO.png")</f>
        <v/>
      </c>
      <c r="C27" s="36"/>
      <c r="D27" s="46" t="str">
        <f>image("https://i.imgur.com/VQL4lPa.png")</f>
        <v/>
      </c>
      <c r="E27" s="36"/>
      <c r="F27" s="35" t="str">
        <f>image("https://i.imgur.com/rJhTvoD.png")</f>
        <v/>
      </c>
      <c r="G27" s="36"/>
      <c r="H27" s="46" t="str">
        <f>image("https://i.imgur.com/a9HBljD.png")</f>
        <v/>
      </c>
      <c r="I27" s="36"/>
      <c r="J27" s="38" t="str">
        <f>image("https://i.imgur.com/VQL4lPa.png")</f>
        <v/>
      </c>
      <c r="K27" s="36"/>
      <c r="L27" s="46" t="str">
        <f>image("https://i.imgur.com/rJhTvoD.png")</f>
        <v/>
      </c>
      <c r="M27" s="36"/>
      <c r="N27" s="38" t="str">
        <f>image("https://i.imgur.com/a9HBljD.png")</f>
        <v/>
      </c>
      <c r="O27" s="36"/>
      <c r="P27" s="38" t="str">
        <f>image("https://i.imgur.com/JDgAgAO.png")</f>
        <v/>
      </c>
      <c r="Q27" s="36"/>
      <c r="R27" s="33"/>
    </row>
    <row r="28" ht="26.25" customHeight="1">
      <c r="A28" s="15"/>
      <c r="B28" s="40" t="str">
        <f>image("https://i.imgur.com/NkILW1J.png")</f>
        <v/>
      </c>
      <c r="C28" s="41"/>
      <c r="D28" s="43" t="str">
        <f>image("https://i.imgur.com/N2Wqr43.png")</f>
        <v/>
      </c>
      <c r="E28" s="41"/>
      <c r="F28" s="40"/>
      <c r="G28" s="41"/>
      <c r="H28" s="43"/>
      <c r="I28" s="41"/>
      <c r="J28" s="40" t="str">
        <f>image("https://i.imgur.com/N2Wqr43.png")</f>
        <v/>
      </c>
      <c r="K28" s="41"/>
      <c r="L28" s="43" t="str">
        <f>image("https://i.imgur.com/RqSOGo6.png")</f>
        <v/>
      </c>
      <c r="M28" s="41"/>
      <c r="N28" s="40"/>
      <c r="O28" s="41"/>
      <c r="P28" s="40"/>
      <c r="Q28" s="41"/>
      <c r="R28" s="33"/>
    </row>
    <row r="29" ht="18.75" customHeight="1">
      <c r="A29" s="6"/>
      <c r="B29" s="8" t="s">
        <v>466</v>
      </c>
      <c r="C29" s="10" t="s">
        <v>467</v>
      </c>
      <c r="D29" s="8" t="s">
        <v>468</v>
      </c>
      <c r="E29" s="10" t="s">
        <v>469</v>
      </c>
      <c r="F29" s="8" t="s">
        <v>470</v>
      </c>
      <c r="G29" s="10" t="s">
        <v>471</v>
      </c>
      <c r="H29" s="8" t="s">
        <v>472</v>
      </c>
      <c r="I29" s="10" t="s">
        <v>473</v>
      </c>
      <c r="J29" s="8" t="s">
        <v>475</v>
      </c>
      <c r="K29" s="10" t="s">
        <v>478</v>
      </c>
      <c r="L29" s="8" t="s">
        <v>481</v>
      </c>
      <c r="M29" s="10" t="s">
        <v>484</v>
      </c>
      <c r="N29" s="8" t="s">
        <v>487</v>
      </c>
      <c r="O29" s="10" t="s">
        <v>490</v>
      </c>
      <c r="P29" s="8" t="s">
        <v>493</v>
      </c>
      <c r="Q29" s="10" t="s">
        <v>496</v>
      </c>
      <c r="R29" s="14"/>
    </row>
    <row r="30" ht="26.25" customHeight="1">
      <c r="A30" s="15"/>
      <c r="B30" s="16" t="str">
        <f>image("https://i.imgur.com/rJhTvoD.png")</f>
        <v/>
      </c>
      <c r="C30" s="20" t="str">
        <f>image("https://pokejungle.net/sprites/normal/"&amp;B29&amp;".png")</f>
        <v/>
      </c>
      <c r="D30" s="16" t="str">
        <f>image("https://i.imgur.com/rJhTvoD.png")</f>
        <v/>
      </c>
      <c r="E30" s="20" t="str">
        <f>image("https://pokejungle.net/sprites/normal/"&amp;D29&amp;".png")</f>
        <v/>
      </c>
      <c r="F30" s="16" t="str">
        <f>image("https://i.imgur.com/XNzvO0H.png")</f>
        <v/>
      </c>
      <c r="G30" s="20" t="str">
        <f>image("https://pokejungle.net/sprites/normal/"&amp;F29&amp;"-f.png")</f>
        <v/>
      </c>
      <c r="H30" s="24" t="str">
        <f>image("https://i.imgur.com/zpybKax.png")</f>
        <v/>
      </c>
      <c r="I30" s="20" t="str">
        <f>image("https://pokejungle.net/sprites/normal/"&amp;H29&amp;".png")</f>
        <v/>
      </c>
      <c r="J30" s="16" t="str">
        <f>image("https://i.imgur.com/zpybKax.png")</f>
        <v/>
      </c>
      <c r="K30" s="20" t="str">
        <f>image("https://pokejungle.net/sprites/normal/"&amp;J29&amp;".png")</f>
        <v/>
      </c>
      <c r="L30" s="28" t="str">
        <f>image("https://i.imgur.com/VQL4lPa.png")</f>
        <v/>
      </c>
      <c r="M30" s="20" t="str">
        <f>image("https://pokejungle.net/sprites/normal/"&amp;L29&amp;".png")</f>
        <v/>
      </c>
      <c r="N30" s="16" t="str">
        <f>image("https://i.imgur.com/VQL4lPa.png")</f>
        <v/>
      </c>
      <c r="O30" s="20" t="str">
        <f>image("https://pokejungle.net/sprites/normal/"&amp;N29&amp;".png")</f>
        <v/>
      </c>
      <c r="P30" s="16" t="str">
        <f>image("https://i.imgur.com/rAI9Gyi.png")</f>
        <v/>
      </c>
      <c r="Q30" s="20" t="str">
        <f>image("https://pokejungle.net/sprites/normal/"&amp;P29&amp;".png")</f>
        <v/>
      </c>
      <c r="R30" s="33"/>
    </row>
    <row r="31" ht="26.25" customHeight="1">
      <c r="A31" s="15"/>
      <c r="B31" s="38" t="str">
        <f>image("https://i.imgur.com/beHgI95.png")</f>
        <v/>
      </c>
      <c r="C31" s="36"/>
      <c r="D31" s="35" t="str">
        <f>image("https://i.imgur.com/beHgI95.png")</f>
        <v/>
      </c>
      <c r="E31" s="36"/>
      <c r="F31" s="35" t="str">
        <f>image("https://i.imgur.com/zpybKax.png")</f>
        <v/>
      </c>
      <c r="G31" s="36"/>
      <c r="H31" s="37" t="str">
        <f>image("https://i.imgur.com/RqSOGo6.png")</f>
        <v/>
      </c>
      <c r="I31" s="36"/>
      <c r="J31" s="38" t="str">
        <f>image("https://i.imgur.com/RqSOGo6.png")</f>
        <v/>
      </c>
      <c r="K31" s="36"/>
      <c r="L31" s="35" t="str">
        <f>image("https://i.imgur.com/rAI9Gyi.png")</f>
        <v/>
      </c>
      <c r="M31" s="36"/>
      <c r="N31" s="38" t="str">
        <f>image("https://i.imgur.com/XI18XGu.png")</f>
        <v/>
      </c>
      <c r="O31" s="36"/>
      <c r="P31" s="38"/>
      <c r="Q31" s="36"/>
      <c r="R31" s="33"/>
    </row>
    <row r="32" ht="26.25" customHeight="1">
      <c r="A32" s="15"/>
      <c r="B32" s="40"/>
      <c r="C32" s="41"/>
      <c r="D32" s="40"/>
      <c r="E32" s="41"/>
      <c r="F32" s="40"/>
      <c r="G32" s="41"/>
      <c r="H32" s="40"/>
      <c r="I32" s="41"/>
      <c r="J32" s="40"/>
      <c r="K32" s="41"/>
      <c r="L32" s="43"/>
      <c r="M32" s="41"/>
      <c r="N32" s="40" t="str">
        <f>image("https://i.imgur.com/rAI9Gyi.png")</f>
        <v/>
      </c>
      <c r="O32" s="41"/>
      <c r="P32" s="40"/>
      <c r="Q32" s="41"/>
      <c r="R32" s="33"/>
    </row>
    <row r="33" ht="26.25" customHeight="1">
      <c r="A33" s="15"/>
      <c r="B33" s="16" t="str">
        <f>image("https://i.imgur.com/EkqYYOB.png")</f>
        <v/>
      </c>
      <c r="C33" s="20" t="str">
        <f>image("https://pokejungle.net/sprites/shiny/"&amp;B29&amp;"-f.png")</f>
        <v/>
      </c>
      <c r="D33" s="16" t="str">
        <f>image("https://i.imgur.com/EkqYYOB.png")</f>
        <v/>
      </c>
      <c r="E33" s="20" t="str">
        <f>image("https://pokejungle.net/sprites/shiny/"&amp;D29&amp;".png")</f>
        <v/>
      </c>
      <c r="F33" s="16" t="str">
        <f>image("https://i.imgur.com/rAI9Gyi.png")</f>
        <v/>
      </c>
      <c r="G33" s="20" t="str">
        <f>image("https://pokejungle.net/sprites/shiny/"&amp;F29&amp;".png")</f>
        <v/>
      </c>
      <c r="H33" s="16" t="str">
        <f>image("https://i.imgur.com/zpybKax.png")</f>
        <v/>
      </c>
      <c r="I33" s="20" t="str">
        <f>image("https://pokejungle.net/sprites/shiny/"&amp;H29&amp;"-f.png")</f>
        <v/>
      </c>
      <c r="J33" s="16" t="str">
        <f>image("https://i.imgur.com/zpybKax.png")</f>
        <v/>
      </c>
      <c r="K33" s="20" t="str">
        <f>image("https://pokejungle.net/sprites/shiny/"&amp;J29&amp;"-f.png")</f>
        <v/>
      </c>
      <c r="L33" s="16" t="str">
        <f>image("https://i.imgur.com/rAI9Gyi.png")</f>
        <v/>
      </c>
      <c r="M33" s="20" t="str">
        <f>image("https://pokejungle.net/sprites/shiny/"&amp;L29&amp;".png")</f>
        <v/>
      </c>
      <c r="N33" s="16" t="str">
        <f>image("https://i.imgur.com/VQL4lPa.png")</f>
        <v/>
      </c>
      <c r="O33" s="20" t="str">
        <f>image("https://pokejungle.net/sprites/shiny/"&amp;N29&amp;".png")</f>
        <v/>
      </c>
      <c r="P33" s="16" t="str">
        <f>image("https://i.imgur.com/rAI9Gyi.png")</f>
        <v/>
      </c>
      <c r="Q33" s="20" t="str">
        <f>image("https://pokejungle.net/sprites/shiny/"&amp;P29&amp;".png")</f>
        <v/>
      </c>
      <c r="R33" s="33"/>
    </row>
    <row r="34" ht="26.25" customHeight="1">
      <c r="A34" s="15"/>
      <c r="B34" s="38" t="str">
        <f>image("https://i.imgur.com/RqSOGo6.png")</f>
        <v/>
      </c>
      <c r="C34" s="36"/>
      <c r="D34" s="46" t="str">
        <f>image("https://i.imgur.com/RqSOGo6.png")</f>
        <v/>
      </c>
      <c r="E34" s="36"/>
      <c r="F34" s="35" t="str">
        <f>image("https://i.imgur.com/a9HBljD.png")</f>
        <v/>
      </c>
      <c r="G34" s="36"/>
      <c r="H34" s="46"/>
      <c r="I34" s="36"/>
      <c r="J34" s="38"/>
      <c r="K34" s="36"/>
      <c r="L34" s="46" t="str">
        <f>image("https://i.imgur.com/VQL4lPa.png")</f>
        <v/>
      </c>
      <c r="M34" s="36"/>
      <c r="N34" s="38" t="str">
        <f>image("https://i.imgur.com/XI18XGu.png")</f>
        <v/>
      </c>
      <c r="O34" s="36"/>
      <c r="P34" s="38"/>
      <c r="Q34" s="36"/>
      <c r="R34" s="33"/>
    </row>
    <row r="35" ht="26.25" customHeight="1">
      <c r="A35" s="15"/>
      <c r="B35" s="40" t="str">
        <f>image("https://i.imgur.com/GyNf8BH.png")</f>
        <v/>
      </c>
      <c r="C35" s="41"/>
      <c r="D35" s="43" t="str">
        <f>image("https://i.imgur.com/GyNf8BH.png")</f>
        <v/>
      </c>
      <c r="E35" s="41"/>
      <c r="F35" s="40"/>
      <c r="G35" s="41"/>
      <c r="H35" s="43"/>
      <c r="I35" s="41"/>
      <c r="J35" s="40"/>
      <c r="K35" s="41"/>
      <c r="L35" s="43" t="str">
        <f>image("https://i.imgur.com/EkqYYOB.png")</f>
        <v/>
      </c>
      <c r="M35" s="41"/>
      <c r="N35" s="40" t="str">
        <f>image("https://i.imgur.com/rAI9Gyi.png")</f>
        <v/>
      </c>
      <c r="O35" s="41"/>
      <c r="P35" s="40"/>
      <c r="Q35" s="41"/>
      <c r="R35" s="33"/>
    </row>
    <row r="36" ht="18.75" customHeight="1">
      <c r="A36" s="6"/>
      <c r="B36" s="8" t="s">
        <v>493</v>
      </c>
      <c r="C36" s="10" t="s">
        <v>534</v>
      </c>
      <c r="D36" s="8" t="s">
        <v>536</v>
      </c>
      <c r="E36" s="10" t="s">
        <v>539</v>
      </c>
      <c r="F36" s="8" t="s">
        <v>536</v>
      </c>
      <c r="G36" s="10" t="s">
        <v>542</v>
      </c>
      <c r="H36" s="8" t="s">
        <v>544</v>
      </c>
      <c r="I36" s="10" t="s">
        <v>546</v>
      </c>
      <c r="J36" s="8" t="s">
        <v>548</v>
      </c>
      <c r="K36" s="10" t="s">
        <v>549</v>
      </c>
      <c r="L36" s="8" t="s">
        <v>550</v>
      </c>
      <c r="M36" s="10" t="s">
        <v>551</v>
      </c>
      <c r="N36" s="8" t="s">
        <v>552</v>
      </c>
      <c r="O36" s="10" t="s">
        <v>553</v>
      </c>
      <c r="P36" s="8" t="s">
        <v>554</v>
      </c>
      <c r="Q36" s="10" t="s">
        <v>555</v>
      </c>
      <c r="R36" s="14"/>
    </row>
    <row r="37" ht="26.25" customHeight="1">
      <c r="A37" s="15"/>
      <c r="B37" s="16" t="str">
        <f>image("https://i.imgur.com/zpybKax.png")</f>
        <v/>
      </c>
      <c r="C37" s="20" t="str">
        <f>image("https://pokejungle.net/sprites/normal/"&amp;B36&amp;"-1.png")</f>
        <v/>
      </c>
      <c r="D37" s="16" t="str">
        <f>image("https://i.imgur.com/rAI9Gyi.png")</f>
        <v/>
      </c>
      <c r="E37" s="20" t="str">
        <f>image("https://pokejungle.net/sprites/normal/"&amp;D36&amp;".png")</f>
        <v/>
      </c>
      <c r="F37" s="16" t="str">
        <f>image("https://i.imgur.com/zpybKax.png")</f>
        <v/>
      </c>
      <c r="G37" s="20" t="str">
        <f>image("https://pokejungle.net/sprites/normal/"&amp;F36&amp;"-1.png")</f>
        <v/>
      </c>
      <c r="H37" s="24" t="str">
        <f>image("https://i.imgur.com/rAI9Gyi.png")</f>
        <v/>
      </c>
      <c r="I37" s="20" t="str">
        <f>image("https://pokejungle.net/sprites/normal/"&amp;H36&amp;"-f.png")</f>
        <v/>
      </c>
      <c r="J37" s="16" t="str">
        <f>image("https://i.imgur.com/rAI9Gyi.png")</f>
        <v/>
      </c>
      <c r="K37" s="20" t="str">
        <f>image("https://pokejungle.net/sprites/normal/"&amp;J36&amp;".png")</f>
        <v/>
      </c>
      <c r="L37" s="28" t="str">
        <f>image("https://i.imgur.com/rAI9Gyi.png")</f>
        <v/>
      </c>
      <c r="M37" s="20" t="str">
        <f>image("https://pokejungle.net/sprites/normal/"&amp;L36&amp;".png")</f>
        <v/>
      </c>
      <c r="N37" s="16" t="str">
        <f>image("https://i.imgur.com/XIu6jDl.png")</f>
        <v/>
      </c>
      <c r="O37" s="20" t="str">
        <f>image("https://pokejungle.net/sprites/normal/"&amp;N36&amp;".png")</f>
        <v/>
      </c>
      <c r="P37" s="16" t="str">
        <f>image("https://i.imgur.com/XIu6jDl.png")</f>
        <v/>
      </c>
      <c r="Q37" s="20" t="str">
        <f>image("https://pokejungle.net/sprites/normal/"&amp;P36&amp;".png")</f>
        <v/>
      </c>
      <c r="R37" s="33"/>
    </row>
    <row r="38" ht="26.25" customHeight="1">
      <c r="A38" s="15"/>
      <c r="B38" s="38" t="str">
        <f>image("https://i.imgur.com/eru43o1.png")</f>
        <v/>
      </c>
      <c r="C38" s="36"/>
      <c r="D38" s="35"/>
      <c r="E38" s="36"/>
      <c r="F38" s="38" t="str">
        <f>image("https://i.imgur.com/eru43o1.png")</f>
        <v/>
      </c>
      <c r="G38" s="36"/>
      <c r="H38" s="37" t="str">
        <f>image("https://i.imgur.com/XI18XGu.png")</f>
        <v/>
      </c>
      <c r="I38" s="36"/>
      <c r="J38" s="38" t="str">
        <f>image("https://i.imgur.com/N2Wqr43.png")</f>
        <v/>
      </c>
      <c r="K38" s="36"/>
      <c r="L38" s="35" t="str">
        <f>image("https://i.imgur.com/N2Wqr43.png")</f>
        <v/>
      </c>
      <c r="M38" s="36"/>
      <c r="N38" s="38" t="str">
        <f>image("https://i.imgur.com/EkqYYOB.png")</f>
        <v/>
      </c>
      <c r="O38" s="36"/>
      <c r="P38" s="38" t="str">
        <f>image("https://i.imgur.com/EkqYYOB.png")</f>
        <v/>
      </c>
      <c r="Q38" s="36"/>
      <c r="R38" s="33"/>
    </row>
    <row r="39" ht="26.25" customHeight="1">
      <c r="A39" s="15"/>
      <c r="B39" s="40"/>
      <c r="C39" s="41"/>
      <c r="D39" s="40"/>
      <c r="E39" s="41"/>
      <c r="F39" s="40"/>
      <c r="G39" s="41"/>
      <c r="H39" s="40"/>
      <c r="I39" s="41"/>
      <c r="J39" s="40"/>
      <c r="K39" s="41"/>
      <c r="L39" s="43"/>
      <c r="M39" s="41"/>
      <c r="N39" s="40"/>
      <c r="O39" s="41"/>
      <c r="P39" s="40"/>
      <c r="Q39" s="41"/>
      <c r="R39" s="33"/>
    </row>
    <row r="40" ht="26.25" customHeight="1">
      <c r="A40" s="15"/>
      <c r="B40" s="16" t="str">
        <f>image("https://i.imgur.com/zpybKax.png")</f>
        <v/>
      </c>
      <c r="C40" s="20" t="str">
        <f>image("https://pokejungle.net/sprites/shiny/"&amp;B36&amp;"-1.png")</f>
        <v/>
      </c>
      <c r="D40" s="16" t="str">
        <f>image("https://i.imgur.com/rAI9Gyi.png")</f>
        <v/>
      </c>
      <c r="E40" s="20" t="str">
        <f>image("https://pokejungle.net/sprites/shiny/"&amp;D36&amp;".png")</f>
        <v/>
      </c>
      <c r="F40" s="16" t="str">
        <f>image("https://i.imgur.com/zpybKax.png")</f>
        <v/>
      </c>
      <c r="G40" s="20" t="str">
        <f>image("https://pokejungle.net/sprites/shiny/"&amp;F36&amp;"-1.png")</f>
        <v/>
      </c>
      <c r="H40" s="16" t="str">
        <f>image("https://i.imgur.com/a9HBljD.png")</f>
        <v/>
      </c>
      <c r="I40" s="20" t="str">
        <f>image("https://pokejungle.net/sprites/shiny/"&amp;H36&amp;".png")</f>
        <v/>
      </c>
      <c r="J40" s="16" t="str">
        <f>image("https://i.imgur.com/zpybKax.png")</f>
        <v/>
      </c>
      <c r="K40" s="20" t="str">
        <f>image("https://pokejungle.net/sprites/shiny/"&amp;J36&amp;".png")</f>
        <v/>
      </c>
      <c r="L40" s="16" t="str">
        <f>image("https://i.imgur.com/zpybKax.png")</f>
        <v/>
      </c>
      <c r="M40" s="20" t="str">
        <f>image("https://pokejungle.net/sprites/shiny/"&amp;L36&amp;".png")</f>
        <v/>
      </c>
      <c r="N40" s="16" t="str">
        <f>image("https://i.imgur.com/a9HBljD.png")</f>
        <v/>
      </c>
      <c r="O40" s="20" t="str">
        <f>image("https://pokejungle.net/sprites/shiny/"&amp;N36&amp;".png")</f>
        <v/>
      </c>
      <c r="P40" s="16" t="str">
        <f>image("https://i.imgur.com/a9HBljD.png")</f>
        <v/>
      </c>
      <c r="Q40" s="20" t="str">
        <f>image("https://pokejungle.net/sprites/shiny/"&amp;P36&amp;".png")</f>
        <v/>
      </c>
      <c r="R40" s="33"/>
    </row>
    <row r="41" ht="26.25" customHeight="1">
      <c r="A41" s="15"/>
      <c r="B41" s="38" t="str">
        <f>image("https://i.imgur.com/eru43o1.png")</f>
        <v/>
      </c>
      <c r="C41" s="36"/>
      <c r="D41" s="46"/>
      <c r="E41" s="36"/>
      <c r="F41" s="38" t="str">
        <f>image("https://i.imgur.com/eru43o1.png")</f>
        <v/>
      </c>
      <c r="G41" s="36"/>
      <c r="H41" s="46" t="str">
        <f>image("https://i.imgur.com/rAI9Gyi.png")</f>
        <v/>
      </c>
      <c r="I41" s="36"/>
      <c r="J41" s="38" t="str">
        <f>image("https://i.imgur.com/eru43o1.png")</f>
        <v/>
      </c>
      <c r="K41" s="36"/>
      <c r="L41" s="38" t="str">
        <f>image("https://i.imgur.com/eru43o1.png")</f>
        <v/>
      </c>
      <c r="M41" s="36"/>
      <c r="N41" s="38" t="str">
        <f>image("https://i.imgur.com/rAI9Gyi.png")</f>
        <v/>
      </c>
      <c r="O41" s="36"/>
      <c r="P41" s="38" t="str">
        <f>image("https://i.imgur.com/rAI9Gyi.png")</f>
        <v/>
      </c>
      <c r="Q41" s="36"/>
      <c r="R41" s="33"/>
    </row>
    <row r="42" ht="26.25" customHeight="1">
      <c r="A42" s="15"/>
      <c r="B42" s="40"/>
      <c r="C42" s="41"/>
      <c r="D42" s="43"/>
      <c r="E42" s="41"/>
      <c r="F42" s="40"/>
      <c r="G42" s="41"/>
      <c r="H42" s="43"/>
      <c r="I42" s="41"/>
      <c r="J42" s="40"/>
      <c r="K42" s="41"/>
      <c r="L42" s="43"/>
      <c r="M42" s="41"/>
      <c r="N42" s="40"/>
      <c r="O42" s="41"/>
      <c r="P42" s="40"/>
      <c r="Q42" s="41"/>
      <c r="R42" s="33"/>
    </row>
    <row r="43" ht="18.75" customHeight="1">
      <c r="A43" s="6"/>
      <c r="B43" s="8" t="s">
        <v>603</v>
      </c>
      <c r="C43" s="10" t="s">
        <v>604</v>
      </c>
      <c r="D43" s="8" t="s">
        <v>605</v>
      </c>
      <c r="E43" s="10" t="s">
        <v>606</v>
      </c>
      <c r="F43" s="8" t="s">
        <v>607</v>
      </c>
      <c r="G43" s="10" t="s">
        <v>608</v>
      </c>
      <c r="H43" s="8" t="s">
        <v>609</v>
      </c>
      <c r="I43" s="10" t="s">
        <v>610</v>
      </c>
      <c r="J43" s="8" t="s">
        <v>611</v>
      </c>
      <c r="K43" s="10" t="s">
        <v>612</v>
      </c>
      <c r="L43" s="8" t="s">
        <v>613</v>
      </c>
      <c r="M43" s="10" t="s">
        <v>614</v>
      </c>
      <c r="N43" s="8" t="s">
        <v>615</v>
      </c>
      <c r="O43" s="10" t="s">
        <v>616</v>
      </c>
      <c r="P43" s="8" t="s">
        <v>617</v>
      </c>
      <c r="Q43" s="10" t="s">
        <v>618</v>
      </c>
      <c r="R43" s="14"/>
    </row>
    <row r="44" ht="26.25" customHeight="1">
      <c r="A44" s="15"/>
      <c r="B44" s="16" t="str">
        <f>image("https://i.imgur.com/XI18XGu.png")</f>
        <v/>
      </c>
      <c r="C44" s="20" t="str">
        <f>image("https://pokejungle.net/sprites/normal/"&amp;B43&amp;".png")</f>
        <v/>
      </c>
      <c r="D44" s="16" t="str">
        <f>image("https://i.imgur.com/EkqYYOB.png")</f>
        <v/>
      </c>
      <c r="E44" s="20" t="str">
        <f>image("https://pokejungle.net/sprites/normal/"&amp;D43&amp;".png")</f>
        <v/>
      </c>
      <c r="F44" s="16" t="str">
        <f>image("https://i.imgur.com/JOd7Boe.png")</f>
        <v/>
      </c>
      <c r="G44" s="20" t="str">
        <f>image("https://pokejungle.net/sprites/normal/"&amp;F43&amp;".png")</f>
        <v/>
      </c>
      <c r="H44" s="24" t="str">
        <f>image("https://i.imgur.com/JOd7Boe.png")</f>
        <v/>
      </c>
      <c r="I44" s="20" t="str">
        <f>image("https://pokejungle.net/sprites/normal/"&amp;H43&amp;".png")</f>
        <v/>
      </c>
      <c r="J44" s="16" t="str">
        <f>image("https://i.imgur.com/rJhTvoD.png")</f>
        <v/>
      </c>
      <c r="K44" s="20" t="str">
        <f>image("https://pokejungle.net/sprites/normal/"&amp;J43&amp;".png")</f>
        <v/>
      </c>
      <c r="L44" s="16" t="str">
        <f>image("https://i.imgur.com/XI18XGu.png")</f>
        <v/>
      </c>
      <c r="M44" s="20" t="str">
        <f>image("https://pokejungle.net/sprites/normal/"&amp;L43&amp;".png")</f>
        <v/>
      </c>
      <c r="N44" s="16" t="str">
        <f>image("https://i.imgur.com/XI18XGu.png")</f>
        <v/>
      </c>
      <c r="O44" s="20" t="str">
        <f>image("https://pokejungle.net/sprites/normal/"&amp;N43&amp;".png")</f>
        <v/>
      </c>
      <c r="P44" s="16" t="str">
        <f>image("https://i.imgur.com/JDgAgAO.png")</f>
        <v/>
      </c>
      <c r="Q44" s="20" t="str">
        <f>image("https://pokejungle.net/sprites/normal/"&amp;P43&amp;".png")</f>
        <v/>
      </c>
      <c r="R44" s="33"/>
    </row>
    <row r="45" ht="26.25" customHeight="1">
      <c r="A45" s="15"/>
      <c r="B45" s="38" t="str">
        <f>image("https://i.imgur.com/nNTmuH8.png")</f>
        <v/>
      </c>
      <c r="C45" s="36"/>
      <c r="D45" s="35" t="str">
        <f>image("https://i.imgur.com/JDgAgAO.png")</f>
        <v/>
      </c>
      <c r="E45" s="36"/>
      <c r="F45" s="35" t="str">
        <f>image("https://i.imgur.com/EkqYYOB.png")</f>
        <v/>
      </c>
      <c r="G45" s="36"/>
      <c r="H45" s="37" t="str">
        <f>image("https://i.imgur.com/EkqYYOB.png")</f>
        <v/>
      </c>
      <c r="I45" s="36"/>
      <c r="J45" s="38" t="str">
        <f>image("https://i.imgur.com/0ArMZjJ.png")</f>
        <v/>
      </c>
      <c r="K45" s="36"/>
      <c r="L45" s="35" t="str">
        <f>image("https://i.imgur.com/N2Wqr43.png")</f>
        <v/>
      </c>
      <c r="M45" s="36"/>
      <c r="N45" s="38" t="str">
        <f>image("https://i.imgur.com/N2Wqr43.png")</f>
        <v/>
      </c>
      <c r="O45" s="36"/>
      <c r="P45" s="38" t="str">
        <f>image("https://i.imgur.com/zpybKax.png")</f>
        <v/>
      </c>
      <c r="Q45" s="36"/>
      <c r="R45" s="33"/>
    </row>
    <row r="46" ht="26.25" customHeight="1">
      <c r="A46" s="15"/>
      <c r="B46" s="40" t="str">
        <f>image("https://i.imgur.com/N2Wqr43.png")</f>
        <v/>
      </c>
      <c r="C46" s="41"/>
      <c r="D46" s="40"/>
      <c r="E46" s="41"/>
      <c r="F46" s="40" t="str">
        <f>image("https://i.imgur.com/rAI9Gyi.png")</f>
        <v/>
      </c>
      <c r="G46" s="41"/>
      <c r="H46" s="40" t="str">
        <f>image("https://i.imgur.com/rAI9Gyi.png")</f>
        <v/>
      </c>
      <c r="I46" s="41"/>
      <c r="J46" s="40" t="str">
        <f>image("https://i.imgur.com/EkqYYOB.png")</f>
        <v/>
      </c>
      <c r="K46" s="41"/>
      <c r="L46" s="43" t="str">
        <f>image("https://i.imgur.com/nNTmuH8.png")</f>
        <v/>
      </c>
      <c r="M46" s="41"/>
      <c r="N46" s="40" t="str">
        <f>image("https://i.imgur.com/nNTmuH8.png")</f>
        <v/>
      </c>
      <c r="O46" s="41"/>
      <c r="P46" s="40" t="str">
        <f>image("https://i.imgur.com/XzidFHI.png")</f>
        <v/>
      </c>
      <c r="Q46" s="41"/>
      <c r="R46" s="33"/>
    </row>
    <row r="47" ht="26.25" customHeight="1">
      <c r="A47" s="15"/>
      <c r="B47" s="16" t="str">
        <f>image("https://i.imgur.com/rJhTvoD.png")</f>
        <v/>
      </c>
      <c r="C47" s="20" t="str">
        <f>image("https://pokejungle.net/sprites/shiny/"&amp;B43&amp;".png")</f>
        <v/>
      </c>
      <c r="D47" s="16" t="str">
        <f>image("https://i.imgur.com/XI18XGu.png")</f>
        <v/>
      </c>
      <c r="E47" s="20" t="str">
        <f>image("https://pokejungle.net/sprites/shiny/"&amp;D43&amp;".png")</f>
        <v/>
      </c>
      <c r="F47" s="16" t="str">
        <f>image("https://i.imgur.com/XI18XGu.png")</f>
        <v/>
      </c>
      <c r="G47" s="20" t="str">
        <f>image("https://pokejungle.net/sprites/shiny/"&amp;F43&amp;".png")</f>
        <v/>
      </c>
      <c r="H47" s="16" t="str">
        <f>image("https://i.imgur.com/XI18XGu.png")</f>
        <v/>
      </c>
      <c r="I47" s="20" t="str">
        <f>image("https://pokejungle.net/sprites/shiny/"&amp;H43&amp;".png")</f>
        <v/>
      </c>
      <c r="J47" s="16" t="str">
        <f>image("https://i.imgur.com/rJhTvoD.png")</f>
        <v/>
      </c>
      <c r="K47" s="20" t="str">
        <f>image("https://pokejungle.net/sprites/shiny/"&amp;J43&amp;".png")</f>
        <v/>
      </c>
      <c r="L47" s="16" t="str">
        <f>image("https://i.imgur.com/JOd7Boe.png")</f>
        <v/>
      </c>
      <c r="M47" s="20" t="str">
        <f>image("https://pokejungle.net/sprites/shiny/"&amp;L43&amp;".png")</f>
        <v/>
      </c>
      <c r="N47" s="16" t="str">
        <f>image("https://i.imgur.com/JOd7Boe.png")</f>
        <v/>
      </c>
      <c r="O47" s="20" t="str">
        <f>image("https://pokejungle.net/sprites/shiny/"&amp;N43&amp;".png")</f>
        <v/>
      </c>
      <c r="P47" s="16" t="str">
        <f>image("https://i.imgur.com/VQL4lPa.png")</f>
        <v/>
      </c>
      <c r="Q47" s="20" t="str">
        <f>image("https://pokejungle.net/sprites/shiny/"&amp;P43&amp;".png")</f>
        <v/>
      </c>
      <c r="R47" s="33"/>
    </row>
    <row r="48" ht="26.25" customHeight="1">
      <c r="A48" s="15"/>
      <c r="B48" s="38" t="str">
        <f>image("https://i.imgur.com/EkqYYOB.png")</f>
        <v/>
      </c>
      <c r="C48" s="36"/>
      <c r="D48" s="46" t="str">
        <f>image("https://i.imgur.com/rAI9Gyi.png")</f>
        <v/>
      </c>
      <c r="E48" s="36"/>
      <c r="F48" s="35" t="str">
        <f>image("https://i.imgur.com/a9HBljD.png")</f>
        <v/>
      </c>
      <c r="G48" s="36"/>
      <c r="H48" s="46" t="str">
        <f>image("https://i.imgur.com/a9HBljD.png")</f>
        <v/>
      </c>
      <c r="I48" s="36"/>
      <c r="J48" s="38" t="str">
        <f>image("https://i.imgur.com/0ArMZjJ.png")</f>
        <v/>
      </c>
      <c r="K48" s="36"/>
      <c r="L48" s="46" t="str">
        <f>image("https://i.imgur.com/bxys1sd.png")</f>
        <v/>
      </c>
      <c r="M48" s="36"/>
      <c r="N48" s="38" t="str">
        <f>image("https://i.imgur.com/bxys1sd.png")</f>
        <v/>
      </c>
      <c r="O48" s="36"/>
      <c r="P48" s="38" t="str">
        <f>image("https://i.imgur.com/XIu6jDl.png")</f>
        <v/>
      </c>
      <c r="Q48" s="36"/>
      <c r="R48" s="33"/>
    </row>
    <row r="49" ht="26.25" customHeight="1">
      <c r="A49" s="15"/>
      <c r="B49" s="40"/>
      <c r="C49" s="41"/>
      <c r="D49" s="43" t="str">
        <f>image("https://i.imgur.com/nNTmuH8.png")</f>
        <v/>
      </c>
      <c r="E49" s="41"/>
      <c r="F49" s="40" t="str">
        <f>image("https://i.imgur.com/rAI9Gyi.png")</f>
        <v/>
      </c>
      <c r="G49" s="41"/>
      <c r="H49" s="43" t="str">
        <f>image("https://i.imgur.com/rAI9Gyi.png")</f>
        <v/>
      </c>
      <c r="I49" s="41"/>
      <c r="J49" s="40" t="str">
        <f>image("https://i.imgur.com/EkqYYOB.png")</f>
        <v/>
      </c>
      <c r="K49" s="41"/>
      <c r="L49" s="43" t="str">
        <f>image("https://i.imgur.com/GyNf8BH.png")</f>
        <v/>
      </c>
      <c r="M49" s="41"/>
      <c r="N49" s="40" t="str">
        <f>image("https://i.imgur.com/GyNf8BH.png")</f>
        <v/>
      </c>
      <c r="O49" s="41"/>
      <c r="P49" s="40" t="str">
        <f>image("https://i.imgur.com/N2Wqr43.png")</f>
        <v/>
      </c>
      <c r="Q49" s="41"/>
      <c r="R49" s="33"/>
    </row>
    <row r="50" ht="18.75" customHeight="1">
      <c r="A50" s="6"/>
      <c r="B50" s="8" t="s">
        <v>678</v>
      </c>
      <c r="C50" s="10" t="s">
        <v>679</v>
      </c>
      <c r="D50" s="8" t="s">
        <v>680</v>
      </c>
      <c r="E50" s="10" t="s">
        <v>681</v>
      </c>
      <c r="F50" s="8" t="s">
        <v>682</v>
      </c>
      <c r="G50" s="10" t="s">
        <v>683</v>
      </c>
      <c r="H50" s="8" t="s">
        <v>684</v>
      </c>
      <c r="I50" s="10" t="s">
        <v>685</v>
      </c>
      <c r="J50" s="8" t="s">
        <v>686</v>
      </c>
      <c r="K50" s="10" t="s">
        <v>687</v>
      </c>
      <c r="L50" s="8" t="s">
        <v>688</v>
      </c>
      <c r="M50" s="10" t="s">
        <v>689</v>
      </c>
      <c r="N50" s="8" t="s">
        <v>690</v>
      </c>
      <c r="O50" s="10" t="s">
        <v>691</v>
      </c>
      <c r="P50" s="8" t="s">
        <v>692</v>
      </c>
      <c r="Q50" s="10" t="s">
        <v>693</v>
      </c>
      <c r="R50" s="14"/>
    </row>
    <row r="51" ht="26.25" customHeight="1">
      <c r="A51" s="15"/>
      <c r="B51" s="16" t="str">
        <f>image("https://i.imgur.com/SF5CZ6U.png")</f>
        <v/>
      </c>
      <c r="C51" s="20" t="str">
        <f>image("https://pokejungle.net/sprites/normal/"&amp;B50&amp;".png")</f>
        <v/>
      </c>
      <c r="D51" s="16" t="str">
        <f>image("https://i.imgur.com/XIu6jDl.png")</f>
        <v/>
      </c>
      <c r="E51" s="20" t="str">
        <f>image("https://pokejungle.net/sprites/normal/"&amp;D50&amp;".png")</f>
        <v/>
      </c>
      <c r="F51" s="16" t="str">
        <f>image("https://i.imgur.com/rAI9Gyi.png")</f>
        <v/>
      </c>
      <c r="G51" s="20" t="str">
        <f>image("https://pokejungle.net/sprites/normal/"&amp;F50&amp;".png")</f>
        <v/>
      </c>
      <c r="H51" s="24" t="str">
        <f>image("https://i.imgur.com/a9HBljD.png")</f>
        <v/>
      </c>
      <c r="I51" s="20" t="str">
        <f>image("https://pokejungle.net/sprites/normal/"&amp;H50&amp;".png")</f>
        <v/>
      </c>
      <c r="J51" s="16" t="str">
        <f>image("https://i.imgur.com/zpybKax.png")</f>
        <v/>
      </c>
      <c r="K51" s="20" t="str">
        <f>image("https://pokejungle.net/sprites/normal/"&amp;J50&amp;".png")</f>
        <v/>
      </c>
      <c r="L51" s="28" t="str">
        <f>image("https://i.imgur.com/N2Wqr43.png")</f>
        <v/>
      </c>
      <c r="M51" s="20" t="str">
        <f>image("https://pokejungle.net/sprites/normal/"&amp;L50&amp;".png")</f>
        <v/>
      </c>
      <c r="N51" s="16" t="str">
        <f>image("https://i.imgur.com/SF5CZ6U.png")</f>
        <v/>
      </c>
      <c r="O51" s="20" t="str">
        <f>image("https://pokejungle.net/sprites/normal/"&amp;N50&amp;".png")</f>
        <v/>
      </c>
      <c r="P51" s="16" t="str">
        <f>image("https://i.imgur.com/SF5CZ6U.png")</f>
        <v/>
      </c>
      <c r="Q51" s="20" t="str">
        <f>image("https://pokejungle.net/sprites/normal/"&amp;P50&amp;".png")</f>
        <v/>
      </c>
      <c r="R51" s="33"/>
    </row>
    <row r="52" ht="26.25" customHeight="1">
      <c r="A52" s="15"/>
      <c r="B52" s="38" t="str">
        <f>image("https://i.imgur.com/XzidFHI.png")</f>
        <v/>
      </c>
      <c r="C52" s="36"/>
      <c r="D52" s="35" t="str">
        <f>image("https://i.imgur.com/lpOVjtL.png")</f>
        <v/>
      </c>
      <c r="E52" s="36"/>
      <c r="F52" s="35" t="str">
        <f>image("https://i.imgur.com/XI18XGu.png")</f>
        <v/>
      </c>
      <c r="G52" s="36"/>
      <c r="H52" s="37" t="str">
        <f>image("https://i.imgur.com/rAI9Gyi.png")</f>
        <v/>
      </c>
      <c r="I52" s="36"/>
      <c r="J52" s="38" t="str">
        <f>image("https://i.imgur.com/EkqYYOB.png")</f>
        <v/>
      </c>
      <c r="K52" s="36"/>
      <c r="L52" s="35"/>
      <c r="M52" s="36"/>
      <c r="N52" s="38" t="str">
        <f>image("https://i.imgur.com/ef1o2lD.png")</f>
        <v/>
      </c>
      <c r="O52" s="36"/>
      <c r="P52" s="38" t="str">
        <f>image("https://i.imgur.com/ef1o2lD.png")</f>
        <v/>
      </c>
      <c r="Q52" s="36"/>
      <c r="R52" s="33"/>
    </row>
    <row r="53" ht="26.25" customHeight="1">
      <c r="A53" s="15"/>
      <c r="B53" s="40"/>
      <c r="C53" s="41"/>
      <c r="D53" s="40"/>
      <c r="E53" s="41"/>
      <c r="F53" s="40"/>
      <c r="G53" s="41"/>
      <c r="H53" s="40" t="str">
        <f>image("https://i.imgur.com/XI18XGu.png")</f>
        <v/>
      </c>
      <c r="I53" s="41"/>
      <c r="J53" s="40" t="str">
        <f>image("https://i.imgur.com/JDgAgAO.png")</f>
        <v/>
      </c>
      <c r="K53" s="41"/>
      <c r="L53" s="43"/>
      <c r="M53" s="41"/>
      <c r="N53" s="43" t="str">
        <f>image("https://i.imgur.com/eru43o1.png")</f>
        <v/>
      </c>
      <c r="O53" s="41"/>
      <c r="P53" s="40"/>
      <c r="Q53" s="41"/>
      <c r="R53" s="33"/>
    </row>
    <row r="54" ht="26.25" customHeight="1">
      <c r="A54" s="15"/>
      <c r="B54" s="16" t="str">
        <f>image("https://i.imgur.com/VQL4lPa.png")</f>
        <v/>
      </c>
      <c r="C54" s="20" t="str">
        <f>image("https://pokejungle.net/sprites/shiny/"&amp;B50&amp;".png")</f>
        <v/>
      </c>
      <c r="D54" s="16" t="str">
        <f>image("https://i.imgur.com/rAI9Gyi.png")</f>
        <v/>
      </c>
      <c r="E54" s="20" t="str">
        <f>image("https://pokejungle.net/sprites/shiny/"&amp;D50&amp;".png")</f>
        <v/>
      </c>
      <c r="F54" s="16" t="str">
        <f>image("https://i.imgur.com/rAI9Gyi.png")</f>
        <v/>
      </c>
      <c r="G54" s="20" t="str">
        <f>image("https://pokejungle.net/sprites/shiny/"&amp;F50&amp;".png")</f>
        <v/>
      </c>
      <c r="H54" s="16" t="str">
        <f>image("https://i.imgur.com/a9HBljD.png")</f>
        <v/>
      </c>
      <c r="I54" s="20" t="str">
        <f>image("https://pokejungle.net/sprites/shiny/"&amp;H50&amp;".png")</f>
        <v/>
      </c>
      <c r="J54" s="16" t="str">
        <f>image("https://i.imgur.com/EkqYYOB.png")</f>
        <v/>
      </c>
      <c r="K54" s="20" t="str">
        <f>image("https://pokejungle.net/sprites/shiny/"&amp;J50&amp;".png")</f>
        <v/>
      </c>
      <c r="L54" s="16" t="str">
        <f>image("https://i.imgur.com/SF5CZ6U.png")</f>
        <v/>
      </c>
      <c r="M54" s="20" t="str">
        <f>image("https://pokejungle.net/sprites/shiny/"&amp;L50&amp;".png")</f>
        <v/>
      </c>
      <c r="N54" s="16" t="str">
        <f>image("https://i.imgur.com/zpybKax.png")</f>
        <v/>
      </c>
      <c r="O54" s="20" t="str">
        <f>image("https://pokejungle.net/sprites/shiny/"&amp;N50&amp;"-f.png")</f>
        <v/>
      </c>
      <c r="P54" s="16" t="str">
        <f>image("https://i.imgur.com/SF5CZ6U.png")</f>
        <v/>
      </c>
      <c r="Q54" s="20" t="str">
        <f>image("https://pokejungle.net/sprites/shiny/"&amp;P50&amp;"-f.png")</f>
        <v/>
      </c>
      <c r="R54" s="33"/>
    </row>
    <row r="55" ht="26.25" customHeight="1">
      <c r="A55" s="15"/>
      <c r="B55" s="38" t="str">
        <f>image("https://i.imgur.com/XIu6jDl.png")</f>
        <v/>
      </c>
      <c r="C55" s="36"/>
      <c r="D55" s="46" t="str">
        <f>image("https://i.imgur.com/EkqYYOB.png")</f>
        <v/>
      </c>
      <c r="E55" s="36"/>
      <c r="F55" s="35" t="str">
        <f>image("https://i.imgur.com/XI18XGu.png")</f>
        <v/>
      </c>
      <c r="G55" s="36"/>
      <c r="H55" s="46" t="str">
        <f>image("https://i.imgur.com/rAI9Gyi.png")</f>
        <v/>
      </c>
      <c r="I55" s="36"/>
      <c r="J55" s="38" t="str">
        <f>image("https://i.imgur.com/rJhTvoD.png")</f>
        <v/>
      </c>
      <c r="K55" s="36"/>
      <c r="L55" s="38" t="str">
        <f>image("https://i.imgur.com/ef1o2lD.png")</f>
        <v/>
      </c>
      <c r="M55" s="36"/>
      <c r="N55" s="38" t="str">
        <f>image("https://i.imgur.com/IIajvuS.png")</f>
        <v/>
      </c>
      <c r="O55" s="36"/>
      <c r="P55" s="38" t="str">
        <f>image("https://i.imgur.com/ef1o2lD.png")</f>
        <v/>
      </c>
      <c r="Q55" s="36"/>
      <c r="R55" s="33"/>
    </row>
    <row r="56" ht="26.25" customHeight="1">
      <c r="A56" s="15"/>
      <c r="B56" s="40" t="str">
        <f>image("https://i.imgur.com/N2Wqr43.png")</f>
        <v/>
      </c>
      <c r="C56" s="41"/>
      <c r="D56" s="43" t="str">
        <f>image("https://i.imgur.com/rJhTvoD.png")</f>
        <v/>
      </c>
      <c r="E56" s="41"/>
      <c r="F56" s="40" t="str">
        <f>image("https://i.imgur.com/VQL4lPa.png")</f>
        <v/>
      </c>
      <c r="G56" s="41"/>
      <c r="H56" s="43" t="str">
        <f>image("https://i.imgur.com/XI18XGu.png")</f>
        <v/>
      </c>
      <c r="I56" s="41"/>
      <c r="J56" s="40" t="str">
        <f>image("https://i.imgur.com/JDgAgAO.png")</f>
        <v/>
      </c>
      <c r="K56" s="41"/>
      <c r="L56" s="43" t="str">
        <f>image("https://i.imgur.com/eru43o1.png")</f>
        <v/>
      </c>
      <c r="M56" s="41"/>
      <c r="N56" s="43" t="str">
        <f>image("https://i.imgur.com/eru43o1.png")</f>
        <v/>
      </c>
      <c r="O56" s="41"/>
      <c r="P56" s="40"/>
      <c r="Q56" s="41"/>
      <c r="R56" s="33"/>
    </row>
    <row r="57" ht="18.75" customHeight="1">
      <c r="A57" s="6"/>
      <c r="B57" s="8" t="s">
        <v>755</v>
      </c>
      <c r="C57" s="10" t="s">
        <v>756</v>
      </c>
      <c r="D57" s="8" t="s">
        <v>757</v>
      </c>
      <c r="E57" s="10" t="s">
        <v>758</v>
      </c>
      <c r="F57" s="8" t="s">
        <v>759</v>
      </c>
      <c r="G57" s="10" t="s">
        <v>760</v>
      </c>
      <c r="H57" s="8" t="s">
        <v>761</v>
      </c>
      <c r="I57" s="10" t="s">
        <v>762</v>
      </c>
      <c r="J57" s="8" t="s">
        <v>763</v>
      </c>
      <c r="K57" s="10" t="s">
        <v>764</v>
      </c>
      <c r="L57" s="8" t="s">
        <v>765</v>
      </c>
      <c r="M57" s="10" t="s">
        <v>768</v>
      </c>
      <c r="N57" s="8" t="s">
        <v>770</v>
      </c>
      <c r="O57" s="10" t="s">
        <v>771</v>
      </c>
      <c r="P57" s="8" t="s">
        <v>772</v>
      </c>
      <c r="Q57" s="10" t="s">
        <v>774</v>
      </c>
      <c r="R57" s="14"/>
    </row>
    <row r="58" ht="26.25" customHeight="1">
      <c r="A58" s="15"/>
      <c r="B58" s="16" t="str">
        <f>image("https://i.imgur.com/SF5CZ6U.png")</f>
        <v/>
      </c>
      <c r="C58" s="20" t="str">
        <f>image("https://pokejungle.net/sprites/normal/"&amp;B57&amp;".png")</f>
        <v/>
      </c>
      <c r="D58" s="16" t="str">
        <f>image("https://i.imgur.com/JDgAgAO.png")</f>
        <v/>
      </c>
      <c r="E58" s="20" t="str">
        <f>image("https://pokejungle.net/sprites/normal/"&amp;D57&amp;".png")</f>
        <v/>
      </c>
      <c r="F58" s="16" t="str">
        <f>image("https://i.imgur.com/JDgAgAO.png")</f>
        <v/>
      </c>
      <c r="G58" s="20" t="str">
        <f>image("https://pokejungle.net/sprites/normal/"&amp;F57&amp;".png")</f>
        <v/>
      </c>
      <c r="H58" s="24" t="str">
        <f>image("https://i.imgur.com/JDgAgAO.png")</f>
        <v/>
      </c>
      <c r="I58" s="20" t="str">
        <f>image("https://pokejungle.net/sprites/normal/"&amp;H57&amp;".png")</f>
        <v/>
      </c>
      <c r="J58" s="16" t="str">
        <f>image("https://i.imgur.com/lpOVjtL.png")</f>
        <v/>
      </c>
      <c r="K58" s="20" t="str">
        <f>image("https://pokejungle.net/sprites/normal/"&amp;J57&amp;"-f.png")</f>
        <v/>
      </c>
      <c r="L58" s="28" t="str">
        <f>image("https://i.imgur.com/beHgI95.png")</f>
        <v/>
      </c>
      <c r="M58" s="20" t="str">
        <f>image("https://pokejungle.net/sprites/normal/"&amp;L57&amp;"-f.png")</f>
        <v/>
      </c>
      <c r="N58" s="16" t="str">
        <f>image("https://i.imgur.com/XzidFHI.png")</f>
        <v/>
      </c>
      <c r="O58" s="20" t="str">
        <f>image("https://pokejungle.net/sprites/normal/"&amp;N57&amp;".png")</f>
        <v/>
      </c>
      <c r="P58" s="16" t="str">
        <f>image("https://i.imgur.com/rAI9Gyi.png")</f>
        <v/>
      </c>
      <c r="Q58" s="20" t="str">
        <f>image("https://pokejungle.net/sprites/normal/"&amp;P57&amp;".png")</f>
        <v/>
      </c>
      <c r="R58" s="33"/>
    </row>
    <row r="59" ht="26.25" customHeight="1">
      <c r="A59" s="15"/>
      <c r="B59" s="38" t="str">
        <f>image("https://i.imgur.com/ef1o2lD.png")</f>
        <v/>
      </c>
      <c r="C59" s="36"/>
      <c r="D59" s="35" t="str">
        <f>image("https://i.imgur.com/NkILW1J.png")</f>
        <v/>
      </c>
      <c r="E59" s="36"/>
      <c r="F59" s="35" t="str">
        <f>image("https://i.imgur.com/NkILW1J.png")</f>
        <v/>
      </c>
      <c r="G59" s="36"/>
      <c r="H59" s="37" t="str">
        <f>image("https://i.imgur.com/NkILW1J.png")</f>
        <v/>
      </c>
      <c r="I59" s="36"/>
      <c r="J59" s="38" t="str">
        <f>image("https://i.imgur.com/XIu6jDl.png")</f>
        <v/>
      </c>
      <c r="K59" s="36"/>
      <c r="L59" s="35" t="str">
        <f>image("https://i.imgur.com/EkqYYOB.png")</f>
        <v/>
      </c>
      <c r="M59" s="36"/>
      <c r="N59" s="38" t="str">
        <f>image("https://i.imgur.com/SF5CZ6U.png")</f>
        <v/>
      </c>
      <c r="O59" s="36"/>
      <c r="P59" s="38" t="str">
        <f>image("https://i.imgur.com/XI18XGu.png")</f>
        <v/>
      </c>
      <c r="Q59" s="36"/>
      <c r="R59" s="33"/>
    </row>
    <row r="60" ht="26.25" customHeight="1">
      <c r="A60" s="15"/>
      <c r="B60" s="43" t="str">
        <f>image("https://i.imgur.com/rJhTvoD.png")</f>
        <v/>
      </c>
      <c r="C60" s="41"/>
      <c r="D60" s="40" t="str">
        <f>image("https://i.imgur.com/XIu6jDl.png")</f>
        <v/>
      </c>
      <c r="E60" s="41"/>
      <c r="F60" s="40" t="str">
        <f>image("https://i.imgur.com/SF5CZ6U.png")</f>
        <v/>
      </c>
      <c r="G60" s="41"/>
      <c r="H60" s="40" t="str">
        <f>image("https://i.imgur.com/SF5CZ6U.png")</f>
        <v/>
      </c>
      <c r="I60" s="41"/>
      <c r="J60" s="40" t="str">
        <f>image("https://i.imgur.com/beHgI95.png")</f>
        <v/>
      </c>
      <c r="K60" s="41"/>
      <c r="L60" s="43"/>
      <c r="M60" s="41"/>
      <c r="N60" s="40"/>
      <c r="O60" s="41"/>
      <c r="P60" s="40"/>
      <c r="Q60" s="41"/>
      <c r="R60" s="33"/>
    </row>
    <row r="61" ht="26.25" customHeight="1">
      <c r="A61" s="15"/>
      <c r="B61" s="16" t="str">
        <f>image("https://i.imgur.com/SF5CZ6U.png")</f>
        <v/>
      </c>
      <c r="C61" s="20" t="str">
        <f>image("https://pokejungle.net/sprites/shiny/"&amp;B57&amp;"-f.png")</f>
        <v/>
      </c>
      <c r="D61" s="16" t="str">
        <f>image("https://i.imgur.com/JDgAgAO.png")</f>
        <v/>
      </c>
      <c r="E61" s="20" t="str">
        <f>image("https://pokejungle.net/sprites/shiny/"&amp;D57&amp;".png")</f>
        <v/>
      </c>
      <c r="F61" s="16" t="str">
        <f>image("https://i.imgur.com/rJhTvoD.png")</f>
        <v/>
      </c>
      <c r="G61" s="20" t="str">
        <f>image("https://pokejungle.net/sprites/shiny/"&amp;F57&amp;".png")</f>
        <v/>
      </c>
      <c r="H61" s="16" t="str">
        <f>image("https://i.imgur.com/rJhTvoD.png")</f>
        <v/>
      </c>
      <c r="I61" s="20" t="str">
        <f>image("https://pokejungle.net/sprites/shiny/"&amp;H57&amp;".png")</f>
        <v/>
      </c>
      <c r="J61" s="16" t="str">
        <f>image("https://i.imgur.com/lpOVjtL.png")</f>
        <v/>
      </c>
      <c r="K61" s="20" t="str">
        <f>image("https://pokejungle.net/sprites/shiny/"&amp;J57&amp;".png")</f>
        <v/>
      </c>
      <c r="L61" s="16" t="str">
        <f>image("https://i.imgur.com/lpOVjtL.png")</f>
        <v/>
      </c>
      <c r="M61" s="20" t="str">
        <f>image("https://pokejungle.net/sprites/shiny/"&amp;L57&amp;".png")</f>
        <v/>
      </c>
      <c r="N61" s="16" t="str">
        <f>image("https://i.imgur.com/ef1o2lD.png")</f>
        <v/>
      </c>
      <c r="O61" s="20" t="str">
        <f>image("https://pokejungle.net/sprites/shiny/"&amp;N57&amp;".png")</f>
        <v/>
      </c>
      <c r="P61" s="16" t="str">
        <f>image("https://i.imgur.com/ef1o2lD.png")</f>
        <v/>
      </c>
      <c r="Q61" s="20" t="str">
        <f>image("https://pokejungle.net/sprites/shiny/"&amp;P57&amp;".png")</f>
        <v/>
      </c>
      <c r="R61" s="33"/>
    </row>
    <row r="62" ht="26.25" customHeight="1">
      <c r="A62" s="15"/>
      <c r="B62" s="38" t="str">
        <f>image("https://i.imgur.com/JDgAgAO.png")</f>
        <v/>
      </c>
      <c r="C62" s="36"/>
      <c r="D62" s="46" t="str">
        <f>image("https://i.imgur.com/NkILW1J.png")</f>
        <v/>
      </c>
      <c r="E62" s="36"/>
      <c r="F62" s="35" t="str">
        <f>image("https://i.imgur.com/beHgI95.png")</f>
        <v/>
      </c>
      <c r="G62" s="36"/>
      <c r="H62" s="46" t="str">
        <f>image("https://i.imgur.com/beHgI95.png")</f>
        <v/>
      </c>
      <c r="I62" s="36"/>
      <c r="J62" s="38" t="str">
        <f>image("https://i.imgur.com/XIu6jDl.png")</f>
        <v/>
      </c>
      <c r="K62" s="36"/>
      <c r="L62" s="46" t="str">
        <f>image("https://i.imgur.com/EkqYYOB.png")</f>
        <v/>
      </c>
      <c r="M62" s="36"/>
      <c r="N62" s="38" t="str">
        <f>image("https://i.imgur.com/SF5CZ6U.png")</f>
        <v/>
      </c>
      <c r="O62" s="36"/>
      <c r="P62" s="38" t="str">
        <f>image("https://i.imgur.com/SF5CZ6U.png")</f>
        <v/>
      </c>
      <c r="Q62" s="36"/>
      <c r="R62" s="33"/>
    </row>
    <row r="63" ht="26.25" customHeight="1">
      <c r="A63" s="15"/>
      <c r="B63" s="43" t="str">
        <f>image("https://i.imgur.com/rJhTvoD.png")</f>
        <v/>
      </c>
      <c r="C63" s="41"/>
      <c r="D63" s="43" t="str">
        <f>image("https://i.imgur.com/SF5CZ6U.png")</f>
        <v/>
      </c>
      <c r="E63" s="41"/>
      <c r="F63" s="40" t="str">
        <f>image("https://i.imgur.com/EkqYYOB.png")</f>
        <v/>
      </c>
      <c r="G63" s="41"/>
      <c r="H63" s="43" t="str">
        <f>image("https://i.imgur.com/EkqYYOB.png")</f>
        <v/>
      </c>
      <c r="I63" s="41"/>
      <c r="J63" s="40" t="str">
        <f>image("https://i.imgur.com/beHgI95.png")</f>
        <v/>
      </c>
      <c r="K63" s="41"/>
      <c r="L63" s="43" t="str">
        <f>image("https://i.imgur.com/beHgI95.png")</f>
        <v/>
      </c>
      <c r="M63" s="41"/>
      <c r="N63" s="40"/>
      <c r="O63" s="41"/>
      <c r="P63" s="40"/>
      <c r="Q63" s="41"/>
      <c r="R63" s="33"/>
    </row>
    <row r="64" ht="18.75" customHeight="1">
      <c r="A64" s="6"/>
      <c r="B64" s="8" t="s">
        <v>848</v>
      </c>
      <c r="C64" s="10" t="s">
        <v>849</v>
      </c>
      <c r="D64" s="8" t="s">
        <v>850</v>
      </c>
      <c r="E64" s="10" t="s">
        <v>851</v>
      </c>
      <c r="F64" s="8" t="s">
        <v>852</v>
      </c>
      <c r="G64" s="10" t="s">
        <v>853</v>
      </c>
      <c r="H64" s="8" t="s">
        <v>854</v>
      </c>
      <c r="I64" s="10" t="s">
        <v>855</v>
      </c>
      <c r="J64" s="8" t="s">
        <v>856</v>
      </c>
      <c r="K64" s="10" t="s">
        <v>857</v>
      </c>
      <c r="L64" s="8" t="s">
        <v>858</v>
      </c>
      <c r="M64" s="10" t="s">
        <v>859</v>
      </c>
      <c r="N64" s="8" t="s">
        <v>860</v>
      </c>
      <c r="O64" s="10" t="s">
        <v>861</v>
      </c>
      <c r="P64" s="8" t="s">
        <v>862</v>
      </c>
      <c r="Q64" s="10" t="s">
        <v>863</v>
      </c>
      <c r="R64" s="14"/>
    </row>
    <row r="65" ht="26.25" customHeight="1">
      <c r="A65" s="15"/>
      <c r="B65" s="16" t="str">
        <f>image("https://i.imgur.com/SF5CZ6U.png")</f>
        <v/>
      </c>
      <c r="C65" s="20" t="str">
        <f>image("https://pokejungle.net/sprites/normal/"&amp;B64&amp;".png")</f>
        <v/>
      </c>
      <c r="D65" s="16" t="str">
        <f>image("https://i.imgur.com/SF5CZ6U.png")</f>
        <v/>
      </c>
      <c r="E65" s="20" t="str">
        <f>image("https://pokejungle.net/sprites/normal/"&amp;D64&amp;".png")</f>
        <v/>
      </c>
      <c r="F65" s="16" t="str">
        <f>image("https://i.imgur.com/XIu6jDl.png")</f>
        <v/>
      </c>
      <c r="G65" s="20" t="str">
        <f>image("https://pokejungle.net/sprites/normal/"&amp;F64&amp;".png")</f>
        <v/>
      </c>
      <c r="H65" s="24" t="str">
        <f>image("https://i.imgur.com/XNzvO0H.png")</f>
        <v/>
      </c>
      <c r="I65" s="20" t="str">
        <f>image("https://pokejungle.net/sprites/normal/"&amp;H64&amp;"-f.png")</f>
        <v/>
      </c>
      <c r="J65" s="16" t="str">
        <f>image("https://i.imgur.com/XNzvO0H.png")</f>
        <v/>
      </c>
      <c r="K65" s="20" t="str">
        <f>image("https://pokejungle.net/sprites/normal/"&amp;J64&amp;"-f.png")</f>
        <v/>
      </c>
      <c r="L65" s="28" t="str">
        <f>image("https://i.imgur.com/XNzvO0H.png")</f>
        <v/>
      </c>
      <c r="M65" s="20" t="str">
        <f>image("https://pokejungle.net/sprites/normal/"&amp;L64&amp;".png")</f>
        <v/>
      </c>
      <c r="N65" s="16" t="str">
        <f>image("https://i.imgur.com/XIu6jDl.png")</f>
        <v/>
      </c>
      <c r="O65" s="20" t="str">
        <f>image("https://pokejungle.net/sprites/normal/"&amp;N64&amp;".png")</f>
        <v/>
      </c>
      <c r="P65" s="16" t="str">
        <f>image("https://i.imgur.com/0ArMZjJ.png")</f>
        <v/>
      </c>
      <c r="Q65" s="20" t="str">
        <f>image("https://pokejungle.net/sprites/normal/"&amp;P64&amp;".png")</f>
        <v/>
      </c>
      <c r="R65" s="33"/>
    </row>
    <row r="66" ht="26.25" customHeight="1">
      <c r="A66" s="15"/>
      <c r="B66" s="38" t="str">
        <f>image("https://i.imgur.com/XzidFHI.png")</f>
        <v/>
      </c>
      <c r="C66" s="36"/>
      <c r="D66" s="35" t="str">
        <f>image("https://i.imgur.com/XzidFHI.png")</f>
        <v/>
      </c>
      <c r="E66" s="36"/>
      <c r="F66" s="35" t="str">
        <f>image("https://i.imgur.com/lpOVjtL.png")</f>
        <v/>
      </c>
      <c r="G66" s="36"/>
      <c r="H66" s="37" t="str">
        <f>image("https://i.imgur.com/XzidFHI.png")</f>
        <v/>
      </c>
      <c r="I66" s="36"/>
      <c r="J66" s="38" t="str">
        <f>image("https://i.imgur.com/XzidFHI.png")</f>
        <v/>
      </c>
      <c r="K66" s="36"/>
      <c r="L66" s="38" t="str">
        <f>image("https://i.imgur.com/eru43o1.png")</f>
        <v/>
      </c>
      <c r="M66" s="36"/>
      <c r="N66" s="38" t="str">
        <f>image("https://i.imgur.com/0ArMZjJ.png")</f>
        <v/>
      </c>
      <c r="O66" s="36"/>
      <c r="P66" s="38" t="str">
        <f>image("https://i.imgur.com/XIu6jDl.png")</f>
        <v/>
      </c>
      <c r="Q66" s="36"/>
      <c r="R66" s="33"/>
    </row>
    <row r="67" ht="26.25" customHeight="1">
      <c r="A67" s="15"/>
      <c r="B67" s="40" t="str">
        <f t="shared" ref="B67:B68" si="2">image("https://i.imgur.com/JDgAgAO.png")</f>
        <v/>
      </c>
      <c r="C67" s="41"/>
      <c r="D67" s="40" t="str">
        <f t="shared" ref="D67:D68" si="3">image("https://i.imgur.com/JDgAgAO.png")</f>
        <v/>
      </c>
      <c r="E67" s="41"/>
      <c r="F67" s="40" t="str">
        <f>image("https://i.imgur.com/VQL4lPa.png")</f>
        <v/>
      </c>
      <c r="G67" s="41"/>
      <c r="H67" s="43" t="str">
        <f>image("https://i.imgur.com/eru43o1.png")</f>
        <v/>
      </c>
      <c r="I67" s="41"/>
      <c r="J67" s="43" t="str">
        <f>image("https://i.imgur.com/eru43o1.png")</f>
        <v/>
      </c>
      <c r="K67" s="41"/>
      <c r="L67" s="43"/>
      <c r="M67" s="41"/>
      <c r="N67" s="40"/>
      <c r="O67" s="41"/>
      <c r="P67" s="40"/>
      <c r="Q67" s="41"/>
      <c r="R67" s="33"/>
    </row>
    <row r="68" ht="26.25" customHeight="1">
      <c r="A68" s="15"/>
      <c r="B68" s="16" t="str">
        <f t="shared" si="2"/>
        <v/>
      </c>
      <c r="C68" s="20" t="str">
        <f>image("https://pokejungle.net/sprites/shiny/"&amp;B64&amp;"-f.png")</f>
        <v/>
      </c>
      <c r="D68" s="16" t="str">
        <f t="shared" si="3"/>
        <v/>
      </c>
      <c r="E68" s="20" t="str">
        <f>image("https://pokejungle.net/sprites/shiny/"&amp;D64&amp;"-f.png")</f>
        <v/>
      </c>
      <c r="F68" s="16" t="str">
        <f>image("https://i.imgur.com/rJhTvoD.png")</f>
        <v/>
      </c>
      <c r="G68" s="20" t="str">
        <f>image("https://pokejungle.net/sprites/shiny/"&amp;F64&amp;".png")</f>
        <v/>
      </c>
      <c r="H68" s="16" t="str">
        <f>image("https://i.imgur.com/rJhTvoD.png")</f>
        <v/>
      </c>
      <c r="I68" s="20" t="str">
        <f>image("https://pokejungle.net/sprites/shiny/"&amp;H64&amp;".png")</f>
        <v/>
      </c>
      <c r="J68" s="16" t="str">
        <f>image("https://i.imgur.com/rJhTvoD.png")</f>
        <v/>
      </c>
      <c r="K68" s="20" t="str">
        <f>image("https://pokejungle.net/sprites/shiny/"&amp;J64&amp;".png")</f>
        <v/>
      </c>
      <c r="L68" s="16" t="str">
        <f>image("https://i.imgur.com/XNzvO0H.png")</f>
        <v/>
      </c>
      <c r="M68" s="20" t="str">
        <f>image("https://pokejungle.net/sprites/shiny/"&amp;L64&amp;".png")</f>
        <v/>
      </c>
      <c r="N68" s="16" t="str">
        <f>image("https://i.imgur.com/XNzvO0H.png")</f>
        <v/>
      </c>
      <c r="O68" s="20" t="str">
        <f>image("https://pokejungle.net/sprites/shiny/"&amp;N64&amp;"-f.png")</f>
        <v/>
      </c>
      <c r="P68" s="16" t="str">
        <f>image("https://i.imgur.com/XNzvO0H.png")</f>
        <v/>
      </c>
      <c r="Q68" s="20" t="str">
        <f>image("https://pokejungle.net/sprites/shiny/"&amp;P64&amp;"-f.png")</f>
        <v/>
      </c>
      <c r="R68" s="33"/>
    </row>
    <row r="69" ht="26.25" customHeight="1">
      <c r="A69" s="15"/>
      <c r="B69" s="38" t="str">
        <f>image("https://i.imgur.com/XzidFHI.png")</f>
        <v/>
      </c>
      <c r="C69" s="36"/>
      <c r="D69" s="46" t="str">
        <f>image("https://i.imgur.com/XzidFHI.png")</f>
        <v/>
      </c>
      <c r="E69" s="36"/>
      <c r="F69" s="35" t="str">
        <f>image("https://i.imgur.com/XIu6jDl.png")</f>
        <v/>
      </c>
      <c r="G69" s="36"/>
      <c r="H69" s="46" t="str">
        <f>image("https://i.imgur.com/rAI9Gyi.png")</f>
        <v/>
      </c>
      <c r="I69" s="36"/>
      <c r="J69" s="38" t="str">
        <f>image("https://i.imgur.com/rAI9Gyi.png")</f>
        <v/>
      </c>
      <c r="K69" s="36"/>
      <c r="L69" s="38" t="str">
        <f>image("https://i.imgur.com/eru43o1.png")</f>
        <v/>
      </c>
      <c r="M69" s="36"/>
      <c r="N69" s="38" t="str">
        <f>image("https://i.imgur.com/0ArMZjJ.png")</f>
        <v/>
      </c>
      <c r="O69" s="36"/>
      <c r="P69" s="38" t="str">
        <f>image("https://i.imgur.com/0ArMZjJ.png")</f>
        <v/>
      </c>
      <c r="Q69" s="36"/>
      <c r="R69" s="33"/>
    </row>
    <row r="70" ht="26.25" customHeight="1">
      <c r="A70" s="15"/>
      <c r="B70" s="43" t="str">
        <f>image("https://i.imgur.com/eru43o1.png")</f>
        <v/>
      </c>
      <c r="C70" s="41"/>
      <c r="D70" s="43" t="str">
        <f>image("https://i.imgur.com/eru43o1.png")</f>
        <v/>
      </c>
      <c r="E70" s="41"/>
      <c r="F70" s="40" t="str">
        <f>image("https://i.imgur.com/VQL4lPa.png")</f>
        <v/>
      </c>
      <c r="G70" s="41"/>
      <c r="H70" s="43"/>
      <c r="I70" s="41"/>
      <c r="J70" s="40"/>
      <c r="K70" s="41"/>
      <c r="L70" s="43"/>
      <c r="M70" s="41"/>
      <c r="N70" s="43" t="str">
        <f>image("https://i.imgur.com/eru43o1.png")</f>
        <v/>
      </c>
      <c r="O70" s="41"/>
      <c r="P70" s="43" t="str">
        <f>image("https://i.imgur.com/eru43o1.png")</f>
        <v/>
      </c>
      <c r="Q70" s="41"/>
      <c r="R70" s="33"/>
    </row>
    <row r="71" ht="18.75" customHeight="1">
      <c r="A71" s="6"/>
      <c r="B71" s="8" t="s">
        <v>898</v>
      </c>
      <c r="C71" s="10" t="s">
        <v>899</v>
      </c>
      <c r="D71" s="8" t="s">
        <v>900</v>
      </c>
      <c r="E71" s="10" t="s">
        <v>901</v>
      </c>
      <c r="F71" s="8" t="s">
        <v>902</v>
      </c>
      <c r="G71" s="10" t="s">
        <v>903</v>
      </c>
      <c r="H71" s="8" t="s">
        <v>904</v>
      </c>
      <c r="I71" s="10" t="s">
        <v>905</v>
      </c>
      <c r="J71" s="8" t="s">
        <v>906</v>
      </c>
      <c r="K71" s="10" t="s">
        <v>907</v>
      </c>
      <c r="L71" s="8" t="s">
        <v>908</v>
      </c>
      <c r="M71" s="10" t="s">
        <v>909</v>
      </c>
      <c r="N71" s="8" t="s">
        <v>910</v>
      </c>
      <c r="O71" s="10" t="s">
        <v>911</v>
      </c>
      <c r="P71" s="8" t="s">
        <v>912</v>
      </c>
      <c r="Q71" s="10" t="s">
        <v>913</v>
      </c>
      <c r="R71" s="14"/>
    </row>
    <row r="72" ht="26.25" customHeight="1">
      <c r="A72" s="15"/>
      <c r="B72" s="16" t="str">
        <f>image("https://i.imgur.com/EkqYYOB.png")</f>
        <v/>
      </c>
      <c r="C72" s="20" t="str">
        <f>image("https://pokejungle.net/sprites/normal/"&amp;B71&amp;"-f.png")</f>
        <v/>
      </c>
      <c r="D72" s="16" t="str">
        <f>image("https://i.imgur.com/NkILW1J.png")</f>
        <v/>
      </c>
      <c r="E72" s="20" t="str">
        <f>image("https://pokejungle.net/sprites/normal/"&amp;D71&amp;".png")</f>
        <v/>
      </c>
      <c r="F72" s="16" t="str">
        <f>image("https://i.imgur.com/rAI9Gyi.png")</f>
        <v/>
      </c>
      <c r="G72" s="20" t="str">
        <f>image("https://pokejungle.net/sprites/normal/"&amp;F71&amp;".png")</f>
        <v/>
      </c>
      <c r="H72" s="24" t="str">
        <f>image("https://i.imgur.com/RqSOGo6.png")</f>
        <v/>
      </c>
      <c r="I72" s="20" t="str">
        <f>image("https://pokejungle.net/sprites/normal/"&amp;H71&amp;".png")</f>
        <v/>
      </c>
      <c r="J72" s="16" t="str">
        <f>image("https://i.imgur.com/SF5CZ6U.png")</f>
        <v/>
      </c>
      <c r="K72" s="20" t="str">
        <f>image("https://pokejungle.net/sprites/normal/"&amp;J71&amp;"-f.png")</f>
        <v/>
      </c>
      <c r="L72" s="28" t="str">
        <f>image("https://i.imgur.com/beHgI95.png")</f>
        <v/>
      </c>
      <c r="M72" s="20" t="str">
        <f>image("https://pokejungle.net/sprites/normal/"&amp;L71&amp;".png")</f>
        <v/>
      </c>
      <c r="N72" s="16" t="str">
        <f>image("https://i.imgur.com/RqSOGo6.png")</f>
        <v/>
      </c>
      <c r="O72" s="20" t="str">
        <f>image("https://pokejungle.net/sprites/normal/"&amp;N71&amp;".png")</f>
        <v/>
      </c>
      <c r="P72" s="16" t="str">
        <f>image("https://i.imgur.com/0ArMZjJ.png")</f>
        <v/>
      </c>
      <c r="Q72" s="20" t="str">
        <f>image("https://pokejungle.net/sprites/normal/"&amp;P71&amp;".png")</f>
        <v/>
      </c>
      <c r="R72" s="33"/>
    </row>
    <row r="73" ht="26.25" customHeight="1">
      <c r="A73" s="15"/>
      <c r="B73" s="38" t="str">
        <f>image("https://i.imgur.com/JDgAgAO.png")</f>
        <v/>
      </c>
      <c r="C73" s="36"/>
      <c r="D73" s="35" t="str">
        <f>image("https://i.imgur.com/EkqYYOB.png")</f>
        <v/>
      </c>
      <c r="E73" s="36"/>
      <c r="F73" s="35"/>
      <c r="G73" s="36"/>
      <c r="H73" s="37"/>
      <c r="I73" s="36"/>
      <c r="J73" s="38" t="str">
        <f>image("https://i.imgur.com/XzidFHI.png")</f>
        <v/>
      </c>
      <c r="K73" s="36"/>
      <c r="L73" s="35" t="str">
        <f>image("https://i.imgur.com/lKAfx6k.png")</f>
        <v/>
      </c>
      <c r="M73" s="36"/>
      <c r="N73" s="38" t="str">
        <f>image("https://i.imgur.com/lKAfx6k.png")</f>
        <v/>
      </c>
      <c r="O73" s="36"/>
      <c r="P73" s="38" t="str">
        <f>image("https://i.imgur.com/SF5CZ6U.png")</f>
        <v/>
      </c>
      <c r="Q73" s="36"/>
      <c r="R73" s="33"/>
    </row>
    <row r="74" ht="26.25" customHeight="1">
      <c r="A74" s="15"/>
      <c r="B74" s="40"/>
      <c r="C74" s="41"/>
      <c r="D74" s="40" t="str">
        <f>image("https://i.imgur.com/SF5CZ6U.png")</f>
        <v/>
      </c>
      <c r="E74" s="41"/>
      <c r="F74" s="40"/>
      <c r="G74" s="41"/>
      <c r="H74" s="40"/>
      <c r="I74" s="41"/>
      <c r="J74" s="40"/>
      <c r="K74" s="41"/>
      <c r="L74" s="43"/>
      <c r="M74" s="41"/>
      <c r="N74" s="40"/>
      <c r="O74" s="41"/>
      <c r="P74" s="40"/>
      <c r="Q74" s="41"/>
      <c r="R74" s="33"/>
    </row>
    <row r="75" ht="26.25" customHeight="1">
      <c r="A75" s="15"/>
      <c r="B75" s="16" t="str">
        <f>image("https://i.imgur.com/rAI9Gyi.png")</f>
        <v/>
      </c>
      <c r="C75" s="20" t="str">
        <f>image("https://pokejungle.net/sprites/shiny/"&amp;B71&amp;".png")</f>
        <v/>
      </c>
      <c r="D75" s="16" t="str">
        <f>image("https://i.imgur.com/NkILW1J.png")</f>
        <v/>
      </c>
      <c r="E75" s="20" t="str">
        <f>image("https://pokejungle.net/sprites/shiny/"&amp;D71&amp;".png")</f>
        <v/>
      </c>
      <c r="F75" s="16" t="str">
        <f>image("https://i.imgur.com/rAI9Gyi.png")</f>
        <v/>
      </c>
      <c r="G75" s="20" t="str">
        <f>image("https://pokejungle.net/sprites/shiny/"&amp;F71&amp;".png")</f>
        <v/>
      </c>
      <c r="H75" s="16" t="str">
        <f>image("https://i.imgur.com/beHgI95.png")</f>
        <v/>
      </c>
      <c r="I75" s="20" t="str">
        <f>image("https://pokejungle.net/sprites/shiny/"&amp;H71&amp;"-f.png")</f>
        <v/>
      </c>
      <c r="J75" s="16" t="str">
        <f>image("https://i.imgur.com/VQL4lPa.png")</f>
        <v/>
      </c>
      <c r="K75" s="20" t="str">
        <f>image("https://pokejungle.net/sprites/shiny/"&amp;J71&amp;".png")</f>
        <v/>
      </c>
      <c r="L75" s="16" t="str">
        <f>image("https://i.imgur.com/beHgI95.png")</f>
        <v/>
      </c>
      <c r="M75" s="20" t="str">
        <f>image("https://pokejungle.net/sprites/shiny/"&amp;L71&amp;".png")</f>
        <v/>
      </c>
      <c r="N75" s="16" t="str">
        <f>image("https://i.imgur.com/a9HBljD.png")</f>
        <v/>
      </c>
      <c r="O75" s="20" t="str">
        <f>image("https://pokejungle.net/sprites/shiny/"&amp;N71&amp;".png")</f>
        <v/>
      </c>
      <c r="P75" s="16" t="str">
        <f>image("https://i.imgur.com/0ArMZjJ.png")</f>
        <v/>
      </c>
      <c r="Q75" s="20" t="str">
        <f>image("https://pokejungle.net/sprites/shiny/"&amp;P71&amp;".png")</f>
        <v/>
      </c>
      <c r="R75" s="33"/>
    </row>
    <row r="76" ht="26.25" customHeight="1">
      <c r="A76" s="15"/>
      <c r="B76" s="38"/>
      <c r="C76" s="36"/>
      <c r="D76" s="46" t="str">
        <f>image("https://i.imgur.com/EkqYYOB.png")</f>
        <v/>
      </c>
      <c r="E76" s="36"/>
      <c r="F76" s="35" t="str">
        <f>image("https://i.imgur.com/EkqYYOB.png")</f>
        <v/>
      </c>
      <c r="G76" s="36"/>
      <c r="H76" s="46" t="str">
        <f>image("https://i.imgur.com/RqSOGo6.png")</f>
        <v/>
      </c>
      <c r="I76" s="36"/>
      <c r="J76" s="38" t="str">
        <f>image("https://i.imgur.com/N2Wqr43.png")</f>
        <v/>
      </c>
      <c r="K76" s="36"/>
      <c r="L76" s="46"/>
      <c r="M76" s="36"/>
      <c r="N76" s="38" t="str">
        <f>image("https://i.imgur.com/XI18XGu.png")</f>
        <v/>
      </c>
      <c r="O76" s="36"/>
      <c r="P76" s="38" t="str">
        <f>image("https://i.imgur.com/SF5CZ6U.png")</f>
        <v/>
      </c>
      <c r="Q76" s="36"/>
      <c r="R76" s="33"/>
    </row>
    <row r="77" ht="26.25" customHeight="1">
      <c r="A77" s="15"/>
      <c r="B77" s="40"/>
      <c r="C77" s="41"/>
      <c r="D77" s="43" t="str">
        <f>image("https://i.imgur.com/SF5CZ6U.png")</f>
        <v/>
      </c>
      <c r="E77" s="41"/>
      <c r="F77" s="40"/>
      <c r="G77" s="41"/>
      <c r="H77" s="43"/>
      <c r="I77" s="41"/>
      <c r="J77" s="40"/>
      <c r="K77" s="41"/>
      <c r="L77" s="43"/>
      <c r="M77" s="41"/>
      <c r="N77" s="40" t="str">
        <f>image("https://i.imgur.com/rAI9Gyi.png")</f>
        <v/>
      </c>
      <c r="O77" s="41"/>
      <c r="P77" s="40"/>
      <c r="Q77" s="41"/>
      <c r="R77" s="33"/>
    </row>
    <row r="78" ht="18.75" customHeight="1">
      <c r="A78" s="6"/>
      <c r="B78" s="8" t="s">
        <v>956</v>
      </c>
      <c r="C78" s="10" t="s">
        <v>960</v>
      </c>
      <c r="D78" s="8" t="s">
        <v>964</v>
      </c>
      <c r="E78" s="10" t="s">
        <v>968</v>
      </c>
      <c r="F78" s="8" t="s">
        <v>972</v>
      </c>
      <c r="G78" s="10" t="s">
        <v>975</v>
      </c>
      <c r="H78" s="8" t="s">
        <v>979</v>
      </c>
      <c r="I78" s="10" t="s">
        <v>981</v>
      </c>
      <c r="J78" s="8" t="s">
        <v>983</v>
      </c>
      <c r="K78" s="10" t="s">
        <v>986</v>
      </c>
      <c r="L78" s="8" t="s">
        <v>988</v>
      </c>
      <c r="M78" s="10" t="s">
        <v>990</v>
      </c>
      <c r="N78" s="8" t="s">
        <v>992</v>
      </c>
      <c r="O78" s="10" t="s">
        <v>993</v>
      </c>
      <c r="P78" s="8" t="s">
        <v>994</v>
      </c>
      <c r="Q78" s="10" t="s">
        <v>996</v>
      </c>
      <c r="R78" s="14"/>
    </row>
    <row r="79" ht="26.25" customHeight="1">
      <c r="A79" s="15"/>
      <c r="B79" s="16" t="str">
        <f>image("https://i.imgur.com/N2Wqr43.png")</f>
        <v/>
      </c>
      <c r="C79" s="20" t="str">
        <f>image("https://pokejungle.net/sprites/normal/"&amp;B78&amp;".png")</f>
        <v/>
      </c>
      <c r="D79" s="16" t="str">
        <f>image("https://i.imgur.com/XIu6jDl.png")</f>
        <v/>
      </c>
      <c r="E79" s="20" t="str">
        <f>image("https://pokejungle.net/sprites/normal/"&amp;D78&amp;".png")</f>
        <v/>
      </c>
      <c r="F79" s="16" t="str">
        <f>image("https://i.imgur.com/XNzvO0H.png")</f>
        <v/>
      </c>
      <c r="G79" s="20" t="str">
        <f>image("https://pokejungle.net/sprites/normal/"&amp;F78&amp;".png")</f>
        <v/>
      </c>
      <c r="H79" s="24" t="str">
        <f>image("https://i.imgur.com/JDgAgAO.png")</f>
        <v/>
      </c>
      <c r="I79" s="20" t="str">
        <f>image("https://pokejungle.net/sprites/normal/"&amp;H78&amp;".png")</f>
        <v/>
      </c>
      <c r="J79" s="16" t="str">
        <f>image("https://i.imgur.com/lpOVjtL.png")</f>
        <v/>
      </c>
      <c r="K79" s="20" t="str">
        <f>image("https://pokejungle.net/sprites/normal/"&amp;J78&amp;".png")</f>
        <v/>
      </c>
      <c r="L79" s="16" t="str">
        <f>image("https://i.imgur.com/ef1o2lD.png")</f>
        <v/>
      </c>
      <c r="M79" s="20" t="str">
        <f>image("https://pokejungle.net/sprites/normal/"&amp;L78&amp;".png")</f>
        <v/>
      </c>
      <c r="N79" s="16" t="str">
        <f>image("https://i.imgur.com/VQL4lPa.png")</f>
        <v/>
      </c>
      <c r="O79" s="20" t="str">
        <f>image("https://pokejungle.net/sprites/normal/"&amp;N78&amp;".png")</f>
        <v/>
      </c>
      <c r="P79" s="16" t="str">
        <f>image("https://i.imgur.com/SF5CZ6U.png")</f>
        <v/>
      </c>
      <c r="Q79" s="20" t="str">
        <f>image("https://pokejungle.net/sprites/normal/"&amp;P78&amp;".png")</f>
        <v/>
      </c>
      <c r="R79" s="33"/>
    </row>
    <row r="80" ht="26.25" customHeight="1">
      <c r="A80" s="15"/>
      <c r="B80" s="38" t="str">
        <f>image("https://i.imgur.com/VQL4lPa.png")</f>
        <v/>
      </c>
      <c r="C80" s="36"/>
      <c r="D80" s="35"/>
      <c r="E80" s="36"/>
      <c r="F80" s="38" t="str">
        <f>image("https://i.imgur.com/eru43o1.png")</f>
        <v/>
      </c>
      <c r="G80" s="36"/>
      <c r="H80" s="37" t="str">
        <f>image("https://i.imgur.com/N2Wqr43.png")</f>
        <v/>
      </c>
      <c r="I80" s="36"/>
      <c r="J80" s="38" t="str">
        <f>image("https://i.imgur.com/XIu6jDl.png")</f>
        <v/>
      </c>
      <c r="K80" s="36"/>
      <c r="L80" s="38" t="str">
        <f>image("https://i.imgur.com/SF5CZ6U.png")</f>
        <v/>
      </c>
      <c r="M80" s="36"/>
      <c r="N80" s="38" t="str">
        <f>image("https://i.imgur.com/0ArMZjJ.png")</f>
        <v/>
      </c>
      <c r="O80" s="36"/>
      <c r="P80" s="38" t="str">
        <f>image("https://i.imgur.com/ef1o2lD.png")</f>
        <v/>
      </c>
      <c r="Q80" s="36"/>
      <c r="R80" s="33"/>
    </row>
    <row r="81" ht="26.25" customHeight="1">
      <c r="A81" s="15"/>
      <c r="B81" s="40" t="str">
        <f>image("https://i.imgur.com/XIu6jDl.png")</f>
        <v/>
      </c>
      <c r="C81" s="41"/>
      <c r="D81" s="40"/>
      <c r="E81" s="41"/>
      <c r="F81" s="40"/>
      <c r="G81" s="41"/>
      <c r="H81" s="40" t="str">
        <f>image("https://i.imgur.com/EkqYYOB.png")</f>
        <v/>
      </c>
      <c r="I81" s="41"/>
      <c r="J81" s="40" t="str">
        <f>image("https://i.imgur.com/XNzvO0H.png")</f>
        <v/>
      </c>
      <c r="K81" s="41"/>
      <c r="L81" s="40" t="str">
        <f t="shared" ref="L81:L82" si="4">image("https://i.imgur.com/rAI9Gyi.png")</f>
        <v/>
      </c>
      <c r="M81" s="41"/>
      <c r="N81" s="40"/>
      <c r="O81" s="41"/>
      <c r="P81" s="40"/>
      <c r="Q81" s="41"/>
      <c r="R81" s="33"/>
    </row>
    <row r="82" ht="26.25" customHeight="1">
      <c r="A82" s="15"/>
      <c r="B82" s="16" t="str">
        <f>image("https://i.imgur.com/SF5CZ6U.png")</f>
        <v/>
      </c>
      <c r="C82" s="20" t="str">
        <f>image("https://pokejungle.net/sprites/shiny/"&amp;B78&amp;".png")</f>
        <v/>
      </c>
      <c r="D82" s="16" t="str">
        <f>image("https://i.imgur.com/XIu6jDl.png")</f>
        <v/>
      </c>
      <c r="E82" s="20" t="str">
        <f>image("https://pokejungle.net/sprites/shiny/"&amp;D78&amp;".png")</f>
        <v/>
      </c>
      <c r="F82" s="16" t="str">
        <f>image("https://i.imgur.com/XNzvO0H.png")</f>
        <v/>
      </c>
      <c r="G82" s="20" t="str">
        <f>image("https://pokejungle.net/sprites/shiny/"&amp;F78&amp;".png")</f>
        <v/>
      </c>
      <c r="H82" s="16" t="str">
        <f>image("https://i.imgur.com/JDgAgAO.png")</f>
        <v/>
      </c>
      <c r="I82" s="20" t="str">
        <f>image("https://pokejungle.net/sprites/shiny/"&amp;H78&amp;".png")</f>
        <v/>
      </c>
      <c r="J82" s="16" t="str">
        <f>image("https://i.imgur.com/XIu6jDl.png")</f>
        <v/>
      </c>
      <c r="K82" s="20" t="str">
        <f>image("https://pokejungle.net/sprites/shiny/"&amp;J78&amp;"-f.png")</f>
        <v/>
      </c>
      <c r="L82" s="16" t="str">
        <f t="shared" si="4"/>
        <v/>
      </c>
      <c r="M82" s="20" t="str">
        <f>image("https://pokejungle.net/sprites/shiny/"&amp;L78&amp;".png")</f>
        <v/>
      </c>
      <c r="N82" s="16" t="str">
        <f>image("https://i.imgur.com/SF5CZ6U.png")</f>
        <v/>
      </c>
      <c r="O82" s="20" t="str">
        <f>image("https://pokejungle.net/sprites/shiny/"&amp;N78&amp;".png")</f>
        <v/>
      </c>
      <c r="P82" s="16" t="str">
        <f>image("https://i.imgur.com/rJhTvoD.png")</f>
        <v/>
      </c>
      <c r="Q82" s="20" t="str">
        <f>image("https://pokejungle.net/sprites/shiny/"&amp;P78&amp;".png")</f>
        <v/>
      </c>
      <c r="R82" s="33"/>
    </row>
    <row r="83" ht="26.25" customHeight="1">
      <c r="A83" s="15"/>
      <c r="B83" s="38" t="str">
        <f>image("https://i.imgur.com/XzidFHI.png")</f>
        <v/>
      </c>
      <c r="C83" s="36"/>
      <c r="D83" s="46"/>
      <c r="E83" s="36"/>
      <c r="F83" s="38" t="str">
        <f>image("https://i.imgur.com/eru43o1.png")</f>
        <v/>
      </c>
      <c r="G83" s="36"/>
      <c r="H83" s="46" t="str">
        <f>image("https://i.imgur.com/zpybKax.png")</f>
        <v/>
      </c>
      <c r="I83" s="36"/>
      <c r="J83" s="38" t="str">
        <f>image("https://i.imgur.com/VQL4lPa.png")</f>
        <v/>
      </c>
      <c r="K83" s="36"/>
      <c r="L83" s="46" t="str">
        <f>image("https://i.imgur.com/SF5CZ6U.png")</f>
        <v/>
      </c>
      <c r="M83" s="36"/>
      <c r="N83" s="37" t="str">
        <f>image("https://i.imgur.com/ef1o2lD.png")</f>
        <v/>
      </c>
      <c r="O83" s="36"/>
      <c r="P83" s="38" t="str">
        <f>image("https://i.imgur.com/EkqYYOB.png")</f>
        <v/>
      </c>
      <c r="Q83" s="36"/>
      <c r="R83" s="33"/>
    </row>
    <row r="84" ht="26.25" customHeight="1">
      <c r="A84" s="15"/>
      <c r="B84" s="40"/>
      <c r="C84" s="41"/>
      <c r="D84" s="43"/>
      <c r="E84" s="41"/>
      <c r="F84" s="40"/>
      <c r="G84" s="41"/>
      <c r="H84" s="43"/>
      <c r="I84" s="41"/>
      <c r="J84" s="40" t="str">
        <f>image("https://i.imgur.com/lpOVjtL.png")</f>
        <v/>
      </c>
      <c r="K84" s="41"/>
      <c r="L84" s="43"/>
      <c r="M84" s="41"/>
      <c r="N84" s="40" t="str">
        <f>image("https://i.imgur.com/0ArMZjJ.png")</f>
        <v/>
      </c>
      <c r="O84" s="41"/>
      <c r="P84" s="40"/>
      <c r="Q84" s="41"/>
      <c r="R84" s="33"/>
    </row>
    <row r="85" ht="18.75" customHeight="1">
      <c r="A85" s="6"/>
      <c r="B85" s="8" t="s">
        <v>1043</v>
      </c>
      <c r="C85" s="10" t="s">
        <v>1044</v>
      </c>
      <c r="D85" s="8" t="s">
        <v>1045</v>
      </c>
      <c r="E85" s="10" t="s">
        <v>1046</v>
      </c>
      <c r="F85" s="8" t="s">
        <v>1047</v>
      </c>
      <c r="G85" s="10" t="s">
        <v>1048</v>
      </c>
      <c r="H85" s="8" t="s">
        <v>1047</v>
      </c>
      <c r="I85" s="10" t="s">
        <v>1049</v>
      </c>
      <c r="J85" s="8" t="s">
        <v>1047</v>
      </c>
      <c r="K85" s="10" t="s">
        <v>1050</v>
      </c>
      <c r="L85" s="8" t="s">
        <v>1047</v>
      </c>
      <c r="M85" s="10" t="s">
        <v>1051</v>
      </c>
      <c r="N85" s="8" t="s">
        <v>1047</v>
      </c>
      <c r="O85" s="10" t="s">
        <v>1052</v>
      </c>
      <c r="P85" s="8" t="s">
        <v>1047</v>
      </c>
      <c r="Q85" s="10" t="s">
        <v>1053</v>
      </c>
      <c r="R85" s="14"/>
    </row>
    <row r="86" ht="26.25" customHeight="1">
      <c r="A86" s="15"/>
      <c r="B86" s="16" t="str">
        <f>image("https://i.imgur.com/EkqYYOB.png")</f>
        <v/>
      </c>
      <c r="C86" s="20" t="str">
        <f>image("https://pokejungle.net/sprites/normal/"&amp;B85&amp;".png")</f>
        <v/>
      </c>
      <c r="D86" s="16" t="str">
        <f>image("https://i.imgur.com/0ArMZjJ.png")</f>
        <v/>
      </c>
      <c r="E86" s="20" t="str">
        <f>image("https://pokejungle.net/sprites/normal/"&amp;D85&amp;".png")</f>
        <v/>
      </c>
      <c r="F86" s="16" t="str">
        <f>image("https://i.imgur.com/zpybKax.png")</f>
        <v/>
      </c>
      <c r="G86" s="20" t="str">
        <f>image("https://pokejungle.net/sprites/normal/"&amp;F85&amp;".png")</f>
        <v/>
      </c>
      <c r="H86" s="24" t="str">
        <f>image("https://i.imgur.com/RqSOGo6.png")</f>
        <v/>
      </c>
      <c r="I86" s="20" t="str">
        <f>image("https://pokejungle.net/sprites/normal/"&amp;H85&amp;"-1.png")</f>
        <v/>
      </c>
      <c r="J86" s="16" t="str">
        <f>image("https://i.imgur.com/XNzvO0H.png")</f>
        <v/>
      </c>
      <c r="K86" s="20" t="str">
        <f>image("https://pokejungle.net/sprites/normal/"&amp;J85&amp;"-2.png")</f>
        <v/>
      </c>
      <c r="L86" s="28" t="str">
        <f>image("https://i.imgur.com/XI18XGu.png")</f>
        <v/>
      </c>
      <c r="M86" s="20" t="str">
        <f>image("https://pokejungle.net/sprites/normal/"&amp;L85&amp;"-3.png")</f>
        <v/>
      </c>
      <c r="N86" s="16" t="str">
        <f>image("https://i.imgur.com/beHgI95.png")</f>
        <v/>
      </c>
      <c r="O86" s="20" t="str">
        <f>image("https://pokejungle.net/sprites/normal/"&amp;N85&amp;"-4.png")</f>
        <v/>
      </c>
      <c r="P86" s="16" t="str">
        <f>image("https://i.imgur.com/XIu6jDl.png")</f>
        <v/>
      </c>
      <c r="Q86" s="20" t="str">
        <f>image("https://pokejungle.net/sprites/normal/"&amp;P85&amp;"-5.png")</f>
        <v/>
      </c>
      <c r="R86" s="33"/>
    </row>
    <row r="87" ht="26.25" customHeight="1">
      <c r="A87" s="15"/>
      <c r="B87" s="38" t="str">
        <f>image("https://i.imgur.com/N2Wqr43.png")</f>
        <v/>
      </c>
      <c r="C87" s="36"/>
      <c r="D87" s="35" t="str">
        <f>image("https://i.imgur.com/XNzvO0H.png")</f>
        <v/>
      </c>
      <c r="E87" s="36"/>
      <c r="F87" s="35" t="str">
        <f>image("https://i.imgur.com/lKAfx6k.png")</f>
        <v/>
      </c>
      <c r="G87" s="36"/>
      <c r="H87" s="35" t="str">
        <f>image("https://i.imgur.com/lKAfx6k.png")</f>
        <v/>
      </c>
      <c r="I87" s="36"/>
      <c r="J87" s="35" t="str">
        <f>image("https://i.imgur.com/lKAfx6k.png")</f>
        <v/>
      </c>
      <c r="K87" s="36"/>
      <c r="L87" s="35" t="str">
        <f>image("https://i.imgur.com/N2Wqr43.png")</f>
        <v/>
      </c>
      <c r="M87" s="36"/>
      <c r="N87" s="35" t="str">
        <f>image("https://i.imgur.com/lKAfx6k.png")</f>
        <v/>
      </c>
      <c r="O87" s="36"/>
      <c r="P87" s="35" t="str">
        <f>image("https://i.imgur.com/lKAfx6k.png")</f>
        <v/>
      </c>
      <c r="Q87" s="36"/>
      <c r="R87" s="33"/>
    </row>
    <row r="88" ht="26.25" customHeight="1">
      <c r="A88" s="15"/>
      <c r="B88" s="40"/>
      <c r="C88" s="41"/>
      <c r="D88" s="40"/>
      <c r="E88" s="41"/>
      <c r="F88" s="40"/>
      <c r="G88" s="41"/>
      <c r="H88" s="40"/>
      <c r="I88" s="41"/>
      <c r="J88" s="40"/>
      <c r="K88" s="41"/>
      <c r="L88" s="40" t="str">
        <f t="shared" ref="L88:L89" si="5">image("https://i.imgur.com/lKAfx6k.png")</f>
        <v/>
      </c>
      <c r="M88" s="41"/>
      <c r="N88" s="40"/>
      <c r="O88" s="41"/>
      <c r="P88" s="40"/>
      <c r="Q88" s="41"/>
      <c r="R88" s="33"/>
    </row>
    <row r="89" ht="26.25" customHeight="1">
      <c r="A89" s="15"/>
      <c r="B89" s="16" t="str">
        <f>image("https://i.imgur.com/JDgAgAO.png")</f>
        <v/>
      </c>
      <c r="C89" s="20" t="str">
        <f>image("https://pokejungle.net/sprites/shiny/"&amp;B85&amp;".png")</f>
        <v/>
      </c>
      <c r="D89" s="16" t="str">
        <f>image("https://i.imgur.com/0ArMZjJ.png")</f>
        <v/>
      </c>
      <c r="E89" s="20" t="str">
        <f>image("https://pokejungle.net/sprites/shiny/"&amp;D85&amp;".png")</f>
        <v/>
      </c>
      <c r="F89" s="16" t="str">
        <f>image("https://i.imgur.com/lKAfx6k.png")</f>
        <v/>
      </c>
      <c r="G89" s="20" t="str">
        <f>image("https://pokejungle.net/sprites/shiny/"&amp;F85&amp;".png")</f>
        <v/>
      </c>
      <c r="H89" s="16" t="str">
        <f>image("https://i.imgur.com/lKAfx6k.png")</f>
        <v/>
      </c>
      <c r="I89" s="20" t="str">
        <f>image("https://pokejungle.net/sprites/shiny/"&amp;H85&amp;"-1.png")</f>
        <v/>
      </c>
      <c r="J89" s="16" t="str">
        <f>image("https://i.imgur.com/lKAfx6k.png")</f>
        <v/>
      </c>
      <c r="K89" s="20" t="str">
        <f>image("https://pokejungle.net/sprites/shiny/"&amp;J85&amp;"-2.png")</f>
        <v/>
      </c>
      <c r="L89" s="16" t="str">
        <f t="shared" si="5"/>
        <v/>
      </c>
      <c r="M89" s="20" t="str">
        <f>image("https://pokejungle.net/sprites/shiny/"&amp;L85&amp;"-3.png")</f>
        <v/>
      </c>
      <c r="N89" s="16" t="str">
        <f>image("https://i.imgur.com/lKAfx6k.png")</f>
        <v/>
      </c>
      <c r="O89" s="20" t="str">
        <f>image("https://pokejungle.net/sprites/shiny/"&amp;N85&amp;"-4.png")</f>
        <v/>
      </c>
      <c r="P89" s="16" t="str">
        <f>image("https://i.imgur.com/lKAfx6k.png")</f>
        <v/>
      </c>
      <c r="Q89" s="20" t="str">
        <f>image("https://pokejungle.net/sprites/shiny/"&amp;P85&amp;"-5.png")</f>
        <v/>
      </c>
      <c r="R89" s="33"/>
    </row>
    <row r="90" ht="26.25" customHeight="1">
      <c r="A90" s="15"/>
      <c r="B90" s="38" t="str">
        <f>image("https://i.imgur.com/N2Wqr43.png")</f>
        <v/>
      </c>
      <c r="C90" s="36"/>
      <c r="D90" s="46" t="str">
        <f>image("https://i.imgur.com/XNzvO0H.png")</f>
        <v/>
      </c>
      <c r="E90" s="36"/>
      <c r="F90" s="35" t="str">
        <f>image("https://i.imgur.com/rAI9Gyi.png")</f>
        <v/>
      </c>
      <c r="G90" s="36"/>
      <c r="H90" s="46" t="str">
        <f>image("https://i.imgur.com/rAI9Gyi.png")</f>
        <v/>
      </c>
      <c r="I90" s="36"/>
      <c r="J90" s="38" t="str">
        <f>image("https://i.imgur.com/rAI9Gyi.png")</f>
        <v/>
      </c>
      <c r="K90" s="36"/>
      <c r="L90" s="46" t="str">
        <f>image("https://i.imgur.com/rAI9Gyi.png")</f>
        <v/>
      </c>
      <c r="M90" s="36"/>
      <c r="N90" s="38" t="str">
        <f>image("https://i.imgur.com/rAI9Gyi.png")</f>
        <v/>
      </c>
      <c r="O90" s="36"/>
      <c r="P90" s="38" t="str">
        <f>image("https://i.imgur.com/rAI9Gyi.png")</f>
        <v/>
      </c>
      <c r="Q90" s="36"/>
      <c r="R90" s="33"/>
    </row>
    <row r="91" ht="26.25" customHeight="1">
      <c r="A91" s="15"/>
      <c r="B91" s="40"/>
      <c r="C91" s="41"/>
      <c r="D91" s="43"/>
      <c r="E91" s="41"/>
      <c r="F91" s="40"/>
      <c r="G91" s="41"/>
      <c r="H91" s="43"/>
      <c r="I91" s="41"/>
      <c r="J91" s="40"/>
      <c r="K91" s="41"/>
      <c r="L91" s="43"/>
      <c r="M91" s="41"/>
      <c r="N91" s="40"/>
      <c r="O91" s="41"/>
      <c r="P91" s="40"/>
      <c r="Q91" s="41"/>
      <c r="R91" s="33"/>
    </row>
    <row r="92" ht="18.75" customHeight="1">
      <c r="A92" s="6"/>
      <c r="B92" s="8" t="s">
        <v>1112</v>
      </c>
      <c r="C92" s="10" t="s">
        <v>1113</v>
      </c>
      <c r="D92" s="8" t="s">
        <v>1114</v>
      </c>
      <c r="E92" s="10" t="s">
        <v>1115</v>
      </c>
      <c r="F92" s="8" t="s">
        <v>1116</v>
      </c>
      <c r="G92" s="10" t="s">
        <v>1117</v>
      </c>
      <c r="H92" s="8" t="s">
        <v>1120</v>
      </c>
      <c r="I92" s="10" t="s">
        <v>1122</v>
      </c>
      <c r="J92" s="8" t="s">
        <v>1120</v>
      </c>
      <c r="K92" s="10" t="s">
        <v>1125</v>
      </c>
      <c r="L92" s="8" t="s">
        <v>1126</v>
      </c>
      <c r="M92" s="10" t="s">
        <v>1128</v>
      </c>
      <c r="N92" s="8" t="s">
        <v>1126</v>
      </c>
      <c r="O92" s="10" t="s">
        <v>1132</v>
      </c>
      <c r="P92" s="8" t="s">
        <v>1134</v>
      </c>
      <c r="Q92" s="10" t="s">
        <v>1135</v>
      </c>
      <c r="R92" s="14"/>
    </row>
    <row r="93" ht="26.25" customHeight="1">
      <c r="A93" s="15"/>
      <c r="B93" s="16" t="str">
        <f>image("https://i.imgur.com/rJhTvoD.png")</f>
        <v/>
      </c>
      <c r="C93" s="20" t="str">
        <f>image("https://pokejungle.net/sprites/normal/"&amp;B92&amp;".png")</f>
        <v/>
      </c>
      <c r="D93" s="16" t="str">
        <f>image("https://i.imgur.com/a9HBljD.png")</f>
        <v/>
      </c>
      <c r="E93" s="20" t="str">
        <f>image("https://pokejungle.net/sprites/normal/"&amp;D92&amp;".png")</f>
        <v/>
      </c>
      <c r="F93" s="16" t="str">
        <f>image("https://i.imgur.com/ef1o2lD.png")</f>
        <v/>
      </c>
      <c r="G93" s="20" t="str">
        <f>image("https://pokejungle.net/sprites/normal/"&amp;F92&amp;".png")</f>
        <v/>
      </c>
      <c r="H93" s="24" t="str">
        <f>image("https://i.imgur.com/NkILW1J.png")</f>
        <v/>
      </c>
      <c r="I93" s="20" t="str">
        <f>image("https://pokejungle.net/sprites/normal/"&amp;H92&amp;".png")</f>
        <v/>
      </c>
      <c r="J93" s="16" t="str">
        <f>image("https://i.imgur.com/NkILW1J.png")</f>
        <v/>
      </c>
      <c r="K93" s="20" t="str">
        <f>image("https://img.pokemondb.net/sprites/home/normal/dialga-origin.png")</f>
        <v/>
      </c>
      <c r="L93" s="28" t="str">
        <f>image("https://i.imgur.com/rAI9Gyi.png")</f>
        <v/>
      </c>
      <c r="M93" s="20" t="str">
        <f>image("https://pokejungle.net/sprites/normal/"&amp;L92&amp;".png")</f>
        <v/>
      </c>
      <c r="N93" s="16" t="str">
        <f>image("https://i.imgur.com/rAI9Gyi.png")</f>
        <v/>
      </c>
      <c r="O93" s="20" t="str">
        <f>image("https://img.pokemondb.net/sprites/home/normal/palkia-origin.png")</f>
        <v/>
      </c>
      <c r="P93" s="16" t="str">
        <f>image("https://i.imgur.com/RqSOGo6.png")</f>
        <v/>
      </c>
      <c r="Q93" s="20" t="str">
        <f>image("https://pokejungle.net/sprites/normal/"&amp;P92&amp;".png")</f>
        <v/>
      </c>
      <c r="R93" s="33"/>
    </row>
    <row r="94" ht="26.25" customHeight="1">
      <c r="A94" s="15"/>
      <c r="B94" s="35" t="str">
        <f>image("https://i.imgur.com/zpybKax.png")</f>
        <v/>
      </c>
      <c r="C94" s="36"/>
      <c r="D94" s="35" t="str">
        <f>image("https://i.imgur.com/rAI9Gyi.png")</f>
        <v/>
      </c>
      <c r="E94" s="36"/>
      <c r="F94" s="38" t="str">
        <f>image("https://i.imgur.com/SF5CZ6U.png")</f>
        <v/>
      </c>
      <c r="G94" s="36"/>
      <c r="H94" s="37" t="str">
        <f>image("https://i.imgur.com/JOd7Boe.png")</f>
        <v/>
      </c>
      <c r="I94" s="36"/>
      <c r="J94" s="38" t="str">
        <f>image("https://i.imgur.com/JOd7Boe.png")</f>
        <v/>
      </c>
      <c r="K94" s="36"/>
      <c r="L94" s="35" t="str">
        <f>image("https://i.imgur.com/0ArMZjJ.png")</f>
        <v/>
      </c>
      <c r="M94" s="36"/>
      <c r="N94" s="38" t="str">
        <f>image("https://i.imgur.com/0ArMZjJ.png")</f>
        <v/>
      </c>
      <c r="O94" s="36"/>
      <c r="P94" s="35" t="str">
        <f>image("https://i.imgur.com/NkILW1J.png")</f>
        <v/>
      </c>
      <c r="Q94" s="36"/>
      <c r="R94" s="33"/>
    </row>
    <row r="95" ht="26.25" customHeight="1">
      <c r="A95" s="15"/>
      <c r="B95" s="40" t="str">
        <f>image("https://i.imgur.com/XNzvO0H.png")</f>
        <v/>
      </c>
      <c r="C95" s="41"/>
      <c r="D95" s="40" t="str">
        <f>image("https://i.imgur.com/XNzvO0H.png")</f>
        <v/>
      </c>
      <c r="E95" s="41"/>
      <c r="F95" s="40" t="str">
        <f>image("https://i.imgur.com/XNzvO0H.png")</f>
        <v/>
      </c>
      <c r="G95" s="41"/>
      <c r="H95" s="40" t="str">
        <f>image("https://i.imgur.com/XNzvO0H.png")</f>
        <v/>
      </c>
      <c r="I95" s="41"/>
      <c r="J95" s="40" t="str">
        <f>image("https://i.imgur.com/XNzvO0H.png")</f>
        <v/>
      </c>
      <c r="K95" s="41"/>
      <c r="L95" s="43" t="str">
        <f t="shared" ref="L95:L96" si="6">image("https://i.imgur.com/a9HBljD.png")</f>
        <v/>
      </c>
      <c r="M95" s="41"/>
      <c r="N95" s="40" t="str">
        <f t="shared" ref="N95:N96" si="7">image("https://i.imgur.com/a9HBljD.png")</f>
        <v/>
      </c>
      <c r="O95" s="41"/>
      <c r="P95" s="40"/>
      <c r="Q95" s="41"/>
      <c r="R95" s="33"/>
    </row>
    <row r="96" ht="26.25" customHeight="1">
      <c r="A96" s="15"/>
      <c r="B96" s="16" t="str">
        <f>image("https://i.imgur.com/rJhTvoD.png")</f>
        <v/>
      </c>
      <c r="C96" s="20" t="str">
        <f>image("https://pokejungle.net/sprites/shiny/"&amp;B92&amp;".png")</f>
        <v/>
      </c>
      <c r="D96" s="16" t="str">
        <f>image("https://i.imgur.com/a9HBljD.png")</f>
        <v/>
      </c>
      <c r="E96" s="20" t="str">
        <f>image("https://pokejungle.net/sprites/shiny/"&amp;D92&amp;".png")</f>
        <v/>
      </c>
      <c r="F96" s="16" t="str">
        <f>image("https://i.imgur.com/ef1o2lD.png")</f>
        <v/>
      </c>
      <c r="G96" s="20" t="str">
        <f>image("https://pokejungle.net/sprites/shiny/"&amp;F92&amp;".png")</f>
        <v/>
      </c>
      <c r="H96" s="16" t="str">
        <f>image("https://i.imgur.com/zpybKax.png")</f>
        <v/>
      </c>
      <c r="I96" s="20" t="str">
        <f>image("https://pokejungle.net/sprites/shiny/"&amp;H92&amp;".png")</f>
        <v/>
      </c>
      <c r="J96" s="16" t="str">
        <f>image("https://i.imgur.com/zpybKax.png")</f>
        <v/>
      </c>
      <c r="K96" s="20" t="str">
        <f>image("https://img.pokemondb.net/sprites/home/shiny/dialga-origin.png")</f>
        <v/>
      </c>
      <c r="L96" s="16" t="str">
        <f t="shared" si="6"/>
        <v/>
      </c>
      <c r="M96" s="20" t="str">
        <f>image("https://pokejungle.net/sprites/shiny/"&amp;L92&amp;".png")</f>
        <v/>
      </c>
      <c r="N96" s="16" t="str">
        <f t="shared" si="7"/>
        <v/>
      </c>
      <c r="O96" s="20" t="str">
        <f>image("https://img.pokemondb.net/sprites/home/shiny/palkia-origin.png")</f>
        <v/>
      </c>
      <c r="P96" s="16" t="str">
        <f>image("https://i.imgur.com/RqSOGo6.png")</f>
        <v/>
      </c>
      <c r="Q96" s="20" t="str">
        <f>image("https://pokejungle.net/sprites/shiny/"&amp;P92&amp;".png")</f>
        <v/>
      </c>
      <c r="R96" s="33"/>
    </row>
    <row r="97" ht="26.25" customHeight="1">
      <c r="A97" s="15"/>
      <c r="B97" s="46" t="str">
        <f>image("https://i.imgur.com/RqSOGo6.png")</f>
        <v/>
      </c>
      <c r="C97" s="36"/>
      <c r="D97" s="35" t="str">
        <f>image("https://i.imgur.com/rAI9Gyi.png")</f>
        <v/>
      </c>
      <c r="E97" s="36"/>
      <c r="F97" s="35" t="str">
        <f>image("https://i.imgur.com/zpybKax.png")</f>
        <v/>
      </c>
      <c r="G97" s="36"/>
      <c r="H97" s="46" t="str">
        <f>image("https://i.imgur.com/JOd7Boe.png")</f>
        <v/>
      </c>
      <c r="I97" s="36"/>
      <c r="J97" s="38" t="str">
        <f>image("https://i.imgur.com/JOd7Boe.png")</f>
        <v/>
      </c>
      <c r="K97" s="36"/>
      <c r="L97" s="46" t="str">
        <f>image("https://i.imgur.com/rAI9Gyi.png")</f>
        <v/>
      </c>
      <c r="M97" s="36"/>
      <c r="N97" s="38" t="str">
        <f>image("https://i.imgur.com/rAI9Gyi.png")</f>
        <v/>
      </c>
      <c r="O97" s="36"/>
      <c r="P97" s="35" t="str">
        <f>image("https://i.imgur.com/NkILW1J.png")</f>
        <v/>
      </c>
      <c r="Q97" s="36"/>
      <c r="R97" s="33"/>
    </row>
    <row r="98" ht="26.25" customHeight="1">
      <c r="A98" s="15"/>
      <c r="B98" s="40" t="str">
        <f>image("https://i.imgur.com/EkqYYOB.png")</f>
        <v/>
      </c>
      <c r="C98" s="41"/>
      <c r="D98" s="40" t="str">
        <f>image("https://i.imgur.com/EkqYYOB.png")</f>
        <v/>
      </c>
      <c r="E98" s="41"/>
      <c r="F98" s="40" t="str">
        <f>image("https://i.imgur.com/EkqYYOB.png")</f>
        <v/>
      </c>
      <c r="G98" s="41"/>
      <c r="H98" s="43"/>
      <c r="I98" s="41"/>
      <c r="J98" s="40"/>
      <c r="K98" s="41"/>
      <c r="L98" s="43"/>
      <c r="M98" s="41"/>
      <c r="N98" s="40"/>
      <c r="O98" s="41"/>
      <c r="P98" s="40" t="str">
        <f>image("https://i.imgur.com/lKAfx6k.png")</f>
        <v/>
      </c>
      <c r="Q98" s="41"/>
      <c r="R98" s="33"/>
    </row>
    <row r="99" ht="18.75" customHeight="1">
      <c r="A99" s="6"/>
      <c r="B99" s="8" t="s">
        <v>1175</v>
      </c>
      <c r="C99" s="10" t="s">
        <v>1176</v>
      </c>
      <c r="D99" s="8" t="s">
        <v>1178</v>
      </c>
      <c r="E99" s="10" t="s">
        <v>1180</v>
      </c>
      <c r="F99" s="8" t="s">
        <v>1178</v>
      </c>
      <c r="G99" s="10" t="s">
        <v>1183</v>
      </c>
      <c r="H99" s="8" t="s">
        <v>1185</v>
      </c>
      <c r="I99" s="10" t="s">
        <v>1186</v>
      </c>
      <c r="J99" s="8" t="s">
        <v>1187</v>
      </c>
      <c r="K99" s="10" t="s">
        <v>1188</v>
      </c>
      <c r="L99" s="8" t="s">
        <v>1189</v>
      </c>
      <c r="M99" s="10" t="s">
        <v>1190</v>
      </c>
      <c r="N99" s="8" t="s">
        <v>1191</v>
      </c>
      <c r="O99" s="10" t="s">
        <v>1192</v>
      </c>
      <c r="P99" s="8" t="s">
        <v>1193</v>
      </c>
      <c r="Q99" s="10" t="s">
        <v>1194</v>
      </c>
      <c r="R99" s="14"/>
    </row>
    <row r="100" ht="26.25" customHeight="1">
      <c r="A100" s="15"/>
      <c r="B100" s="16" t="str">
        <f>image("https://i.imgur.com/beHgI95.png")</f>
        <v/>
      </c>
      <c r="C100" s="20" t="str">
        <f>image("https://pokejungle.net/sprites/normal/"&amp;B99&amp;".png")</f>
        <v/>
      </c>
      <c r="D100" s="16" t="str">
        <f>image("https://i.imgur.com/rJhTvoD.png")</f>
        <v/>
      </c>
      <c r="E100" s="20" t="str">
        <f>image("https://pokejungle.net/sprites/normal/"&amp;D99&amp;".png")</f>
        <v/>
      </c>
      <c r="F100" s="16" t="str">
        <f>image("https://i.imgur.com/rJhTvoD.png")</f>
        <v/>
      </c>
      <c r="G100" s="20" t="str">
        <f>image("https://img.pokemondb.net/sprites/home/normal/giratina-origin.png")</f>
        <v/>
      </c>
      <c r="H100" s="24" t="str">
        <f>image("https://i.imgur.com/rAI9Gyi.png")</f>
        <v/>
      </c>
      <c r="I100" s="20" t="str">
        <f>image("https://pokejungle.net/sprites/normal/"&amp;H99&amp;".png")</f>
        <v/>
      </c>
      <c r="J100" s="16" t="str">
        <f>image("https://i.imgur.com/bxys1sd.png")</f>
        <v/>
      </c>
      <c r="K100" s="20" t="str">
        <f>image("https://pokejungle.net/sprites/normal/"&amp;J99&amp;".png")</f>
        <v/>
      </c>
      <c r="L100" s="28" t="str">
        <f>image("https://i.imgur.com/aeqHLEh.png")</f>
        <v/>
      </c>
      <c r="M100" s="20" t="str">
        <f>image("https://pokejungle.net/sprites/normal/"&amp;L99&amp;".png")</f>
        <v/>
      </c>
      <c r="N100" s="16" t="str">
        <f>image("https://i.imgur.com/JDgAgAO.png")</f>
        <v/>
      </c>
      <c r="O100" s="20" t="str">
        <f>image("https://pokejungle.net/sprites/normal/"&amp;N99&amp;".png")</f>
        <v/>
      </c>
      <c r="P100" s="16" t="str">
        <f>image("https://i.imgur.com/XIu6jDl.png")</f>
        <v/>
      </c>
      <c r="Q100" s="20" t="str">
        <f>image("https://pokejungle.net/sprites/normal/"&amp;P99&amp;".png")</f>
        <v/>
      </c>
      <c r="R100" s="33"/>
    </row>
    <row r="101" ht="26.25" customHeight="1">
      <c r="A101" s="15"/>
      <c r="B101" s="38" t="str">
        <f>image("https://i.imgur.com/XIu6jDl.png")</f>
        <v/>
      </c>
      <c r="C101" s="36"/>
      <c r="D101" s="35" t="str">
        <f>image("https://i.imgur.com/EkqYYOB.png")</f>
        <v/>
      </c>
      <c r="E101" s="36"/>
      <c r="F101" s="35" t="str">
        <f>image("https://i.imgur.com/EkqYYOB.png")</f>
        <v/>
      </c>
      <c r="G101" s="36"/>
      <c r="H101" s="37" t="str">
        <f>image("https://i.imgur.com/JDgAgAO.png")</f>
        <v/>
      </c>
      <c r="I101" s="36"/>
      <c r="J101" s="38" t="str">
        <f>image("https://i.imgur.com/eru43o1.png")</f>
        <v/>
      </c>
      <c r="K101" s="36"/>
      <c r="L101" s="35" t="str">
        <f>image("https://i.imgur.com/bxys1sd.png")</f>
        <v/>
      </c>
      <c r="M101" s="36"/>
      <c r="N101" s="38" t="str">
        <f>image("https://i.imgur.com/N2Wqr43.png")</f>
        <v/>
      </c>
      <c r="O101" s="36"/>
      <c r="P101" s="38" t="str">
        <f>image("https://i.imgur.com/0ArMZjJ.png")</f>
        <v/>
      </c>
      <c r="Q101" s="36"/>
      <c r="R101" s="33"/>
    </row>
    <row r="102" ht="26.25" customHeight="1">
      <c r="A102" s="15"/>
      <c r="B102" s="40"/>
      <c r="C102" s="41"/>
      <c r="D102" s="40" t="str">
        <f>image("https://i.imgur.com/N2Wqr43.png")</f>
        <v/>
      </c>
      <c r="E102" s="41"/>
      <c r="F102" s="40" t="str">
        <f>image("https://i.imgur.com/N2Wqr43.png")</f>
        <v/>
      </c>
      <c r="G102" s="41"/>
      <c r="H102" s="40"/>
      <c r="I102" s="41"/>
      <c r="J102" s="88" t="str">
        <f>image("https://i.imgur.com/XNzvO0H.png")</f>
        <v/>
      </c>
      <c r="K102" s="41"/>
      <c r="L102" s="43" t="str">
        <f>image("https://i.imgur.com/eru43o1.png")</f>
        <v/>
      </c>
      <c r="M102" s="41"/>
      <c r="N102" s="40" t="str">
        <f>image("https://i.imgur.com/EkqYYOB.png")</f>
        <v/>
      </c>
      <c r="O102" s="41"/>
      <c r="P102" s="43" t="str">
        <f>image("https://i.imgur.com/eru43o1.png")</f>
        <v/>
      </c>
      <c r="Q102" s="41"/>
      <c r="R102" s="33"/>
    </row>
    <row r="103" ht="26.25" customHeight="1">
      <c r="A103" s="15"/>
      <c r="B103" s="16" t="str">
        <f>image("https://i.imgur.com/NkILW1J.png")</f>
        <v/>
      </c>
      <c r="C103" s="20" t="str">
        <f>image("https://pokejungle.net/sprites/shiny/"&amp;B99&amp;".png")</f>
        <v/>
      </c>
      <c r="D103" s="16" t="str">
        <f>image("https://i.imgur.com/JDgAgAO.png")</f>
        <v/>
      </c>
      <c r="E103" s="20" t="str">
        <f>image("https://pokejungle.net/sprites/shiny/"&amp;D99&amp;".png")</f>
        <v/>
      </c>
      <c r="F103" s="16" t="str">
        <f>image("https://i.imgur.com/JDgAgAO.png")</f>
        <v/>
      </c>
      <c r="G103" s="20" t="str">
        <f>image("https://pokejungle.net/sprites/shiny/"&amp;F99&amp;"-1.png")</f>
        <v/>
      </c>
      <c r="H103" s="16" t="str">
        <f>image("https://i.imgur.com/JDgAgAO.png")</f>
        <v/>
      </c>
      <c r="I103" s="20" t="str">
        <f>image("https://pokejungle.net/sprites/shiny/"&amp;H99&amp;".png")</f>
        <v/>
      </c>
      <c r="J103" s="16" t="str">
        <f>image("https://i.imgur.com/bxys1sd.png")</f>
        <v/>
      </c>
      <c r="K103" s="20" t="str">
        <f>image("https://pokejungle.net/sprites/shiny/"&amp;J99&amp;".png")</f>
        <v/>
      </c>
      <c r="L103" s="28" t="str">
        <f>image("https://i.imgur.com/aeqHLEh.png")</f>
        <v/>
      </c>
      <c r="M103" s="20" t="str">
        <f>image("https://img.pokemondb.net/sprites/home/shiny/manaphy.png")</f>
        <v/>
      </c>
      <c r="N103" s="16" t="str">
        <f>image("https://i.imgur.com/nNTmuH8.png")</f>
        <v/>
      </c>
      <c r="O103" s="20" t="str">
        <f>image("https://pokejungle.net/sprites/shiny/"&amp;N99&amp;".png")</f>
        <v/>
      </c>
      <c r="P103" s="16" t="str">
        <f>image("https://i.imgur.com/0ArMZjJ.png")</f>
        <v/>
      </c>
      <c r="Q103" s="20" t="str">
        <f>image("https://pokejungle.net/sprites/shiny/"&amp;P99&amp;".png")</f>
        <v/>
      </c>
      <c r="R103" s="33"/>
    </row>
    <row r="104" ht="26.25" customHeight="1">
      <c r="A104" s="15"/>
      <c r="B104" s="38" t="str">
        <f>image("https://i.imgur.com/XIu6jDl.png")</f>
        <v/>
      </c>
      <c r="C104" s="36"/>
      <c r="D104" s="46" t="str">
        <f>image("https://i.imgur.com/NkILW1J.png")</f>
        <v/>
      </c>
      <c r="E104" s="36"/>
      <c r="F104" s="35" t="str">
        <f>image("https://i.imgur.com/NkILW1J.png")</f>
        <v/>
      </c>
      <c r="G104" s="36"/>
      <c r="H104" s="46" t="str">
        <f>image("https://i.imgur.com/rAI9Gyi.png")</f>
        <v/>
      </c>
      <c r="I104" s="36"/>
      <c r="J104" s="96" t="str">
        <f>image("https://i.imgur.com/XNzvO0H.png")</f>
        <v/>
      </c>
      <c r="K104" s="36"/>
      <c r="L104" s="35" t="str">
        <f>image("https://i.imgur.com/bxys1sd.png")</f>
        <v/>
      </c>
      <c r="M104" s="36"/>
      <c r="N104" s="38" t="str">
        <f>image("https://i.imgur.com/N2Wqr43.png")</f>
        <v/>
      </c>
      <c r="O104" s="36"/>
      <c r="P104" s="38" t="str">
        <f>image("https://i.imgur.com/rAI9Gyi.png")</f>
        <v/>
      </c>
      <c r="Q104" s="36"/>
      <c r="R104" s="33"/>
    </row>
    <row r="105" ht="26.25" customHeight="1">
      <c r="A105" s="15"/>
      <c r="B105" s="40" t="str">
        <f>image("https://i.imgur.com/XzidFHI.png")</f>
        <v/>
      </c>
      <c r="C105" s="41"/>
      <c r="D105" s="43" t="str">
        <f>image("https://i.imgur.com/zpybKax.png")</f>
        <v/>
      </c>
      <c r="E105" s="41"/>
      <c r="F105" s="40" t="str">
        <f>image("https://i.imgur.com/zpybKax.png")</f>
        <v/>
      </c>
      <c r="G105" s="41"/>
      <c r="H105" s="43"/>
      <c r="I105" s="41"/>
      <c r="J105" s="88" t="str">
        <f>image("https://i.imgur.com/XzidFHI.png")</f>
        <v/>
      </c>
      <c r="K105" s="41"/>
      <c r="L105" s="43"/>
      <c r="M105" s="41"/>
      <c r="N105" s="40" t="str">
        <f>image("https://i.imgur.com/EkqYYOB.png")</f>
        <v/>
      </c>
      <c r="O105" s="41"/>
      <c r="P105" s="40" t="str">
        <f>image("https://i.imgur.com/XIu6jDl.png")</f>
        <v/>
      </c>
      <c r="Q105" s="41"/>
      <c r="R105" s="33"/>
    </row>
    <row r="106" ht="18.75" customHeight="1">
      <c r="A106" s="6"/>
      <c r="B106" s="8" t="s">
        <v>1193</v>
      </c>
      <c r="C106" s="10" t="s">
        <v>1242</v>
      </c>
      <c r="D106" s="8" t="s">
        <v>1244</v>
      </c>
      <c r="E106" s="10" t="s">
        <v>1246</v>
      </c>
      <c r="F106" s="8" t="s">
        <v>1244</v>
      </c>
      <c r="G106" s="10" t="s">
        <v>1248</v>
      </c>
      <c r="H106" s="8"/>
      <c r="I106" s="1"/>
      <c r="J106" s="2"/>
      <c r="K106" s="1"/>
      <c r="L106" s="2"/>
      <c r="M106" s="1"/>
      <c r="N106" s="2"/>
      <c r="O106" s="1"/>
      <c r="P106" s="2"/>
      <c r="Q106" s="1"/>
      <c r="R106" s="1"/>
    </row>
    <row r="107" ht="26.25" customHeight="1">
      <c r="A107" s="15"/>
      <c r="B107" s="16" t="str">
        <f>image("https://i.imgur.com/0ArMZjJ.png")</f>
        <v/>
      </c>
      <c r="C107" s="20" t="str">
        <f>image("https://pokejungle.net/sprites/normal/"&amp;B106&amp;"-1.png")</f>
        <v/>
      </c>
      <c r="D107" s="16" t="str">
        <f>image("https://i.imgur.com/beHgI95.png")</f>
        <v/>
      </c>
      <c r="E107" s="20" t="str">
        <f>image("https://pokejungle.net/sprites/normal/"&amp;D106&amp;".png")</f>
        <v/>
      </c>
      <c r="F107" s="80" t="s">
        <v>1254</v>
      </c>
      <c r="G107" s="81"/>
      <c r="H107" s="60"/>
      <c r="I107" s="73"/>
      <c r="J107" s="60"/>
      <c r="K107" s="74"/>
      <c r="L107" s="60"/>
      <c r="M107" s="74"/>
      <c r="N107" s="60"/>
      <c r="O107" s="74"/>
      <c r="P107" s="60"/>
      <c r="Q107" s="74"/>
      <c r="R107" s="1"/>
    </row>
    <row r="108" ht="26.25" customHeight="1">
      <c r="A108" s="15"/>
      <c r="B108" s="38" t="str">
        <f>image("https://i.imgur.com/eru43o1.png")</f>
        <v/>
      </c>
      <c r="C108" s="36"/>
      <c r="D108" s="35" t="str">
        <f>image("https://i.imgur.com/EkqYYOB.png")</f>
        <v/>
      </c>
      <c r="E108" s="36"/>
      <c r="F108" s="25"/>
      <c r="G108" s="82"/>
      <c r="H108" s="60"/>
      <c r="I108" s="26"/>
      <c r="J108" s="60"/>
      <c r="K108" s="75"/>
      <c r="L108" s="60"/>
      <c r="M108" s="75"/>
      <c r="N108" s="60"/>
      <c r="O108" s="75"/>
      <c r="P108" s="60"/>
      <c r="Q108" s="75"/>
      <c r="R108" s="1"/>
    </row>
    <row r="109" ht="26.25" customHeight="1">
      <c r="A109" s="15"/>
      <c r="B109" s="40"/>
      <c r="C109" s="41"/>
      <c r="D109" s="40" t="str">
        <f>image("https://i.imgur.com/0ArMZjJ.png")</f>
        <v/>
      </c>
      <c r="E109" s="41"/>
      <c r="F109" s="83"/>
      <c r="G109" s="30"/>
      <c r="H109" s="60"/>
      <c r="I109" s="52"/>
      <c r="J109" s="60"/>
      <c r="K109" s="76"/>
      <c r="L109" s="60"/>
      <c r="M109" s="76"/>
      <c r="N109" s="60"/>
      <c r="O109" s="76"/>
      <c r="P109" s="60"/>
      <c r="Q109" s="76"/>
      <c r="R109" s="1"/>
    </row>
    <row r="110" ht="26.25" customHeight="1">
      <c r="A110" s="15"/>
      <c r="B110" s="16" t="str">
        <f>image("https://i.imgur.com/0ArMZjJ.png")</f>
        <v/>
      </c>
      <c r="C110" s="20" t="str">
        <f>image("https://pokejungle.net/sprites/shiny/"&amp;B106&amp;"-1.png")</f>
        <v/>
      </c>
      <c r="D110" s="16" t="str">
        <f>image("https://i.imgur.com/EkqYYOB.png")</f>
        <v/>
      </c>
      <c r="E110" s="20" t="str">
        <f>image("https://pokejungle.net/sprites/shiny/"&amp;D106&amp;".png")</f>
        <v/>
      </c>
      <c r="F110" s="80" t="s">
        <v>1254</v>
      </c>
      <c r="G110" s="81"/>
      <c r="H110" s="60"/>
      <c r="I110" s="73"/>
      <c r="J110" s="60"/>
      <c r="K110" s="74"/>
      <c r="L110" s="60"/>
      <c r="M110" s="74"/>
      <c r="N110" s="60"/>
      <c r="O110" s="74"/>
      <c r="P110" s="101"/>
      <c r="Q110" s="74"/>
      <c r="R110" s="1"/>
    </row>
    <row r="111" ht="26.25" customHeight="1">
      <c r="A111" s="15"/>
      <c r="B111" s="38"/>
      <c r="C111" s="36"/>
      <c r="D111" s="46" t="str">
        <f>image("https://i.imgur.com/beHgI95.png")</f>
        <v/>
      </c>
      <c r="E111" s="36"/>
      <c r="F111" s="25"/>
      <c r="G111" s="82"/>
      <c r="H111" s="60"/>
      <c r="I111" s="26"/>
      <c r="J111" s="60"/>
      <c r="K111" s="75"/>
      <c r="L111" s="60"/>
      <c r="M111" s="75"/>
      <c r="N111" s="60"/>
      <c r="O111" s="75"/>
      <c r="P111" s="101"/>
      <c r="Q111" s="75"/>
      <c r="R111" s="1"/>
    </row>
    <row r="112" ht="26.25" customHeight="1">
      <c r="A112" s="15"/>
      <c r="B112" s="40"/>
      <c r="C112" s="41"/>
      <c r="D112" s="43" t="str">
        <f>image("https://i.imgur.com/zpybKax.png")</f>
        <v/>
      </c>
      <c r="E112" s="41"/>
      <c r="F112" s="83"/>
      <c r="G112" s="30"/>
      <c r="H112" s="60"/>
      <c r="I112" s="52"/>
      <c r="J112" s="60"/>
      <c r="K112" s="76"/>
      <c r="L112" s="60"/>
      <c r="M112" s="76"/>
      <c r="N112" s="60"/>
      <c r="O112" s="76"/>
      <c r="P112" s="60"/>
      <c r="Q112" s="76"/>
      <c r="R112" s="1"/>
    </row>
    <row r="113" ht="18.75" customHeight="1">
      <c r="A113" s="1"/>
      <c r="B113" s="2"/>
      <c r="C113" s="1"/>
      <c r="D113" s="2"/>
      <c r="E113" s="1"/>
      <c r="F113" s="2"/>
      <c r="G113" s="1"/>
      <c r="H113" s="2"/>
      <c r="I113" s="1"/>
      <c r="J113" s="2"/>
      <c r="K113" s="1"/>
      <c r="L113" s="2"/>
      <c r="M113" s="1"/>
      <c r="N113" s="2"/>
      <c r="O113" s="1"/>
      <c r="P113" s="2"/>
      <c r="Q113" s="1"/>
      <c r="R113" s="1"/>
    </row>
  </sheetData>
  <mergeCells count="256">
    <mergeCell ref="I19:I21"/>
    <mergeCell ref="I23:I25"/>
    <mergeCell ref="I30:I32"/>
    <mergeCell ref="I33:I35"/>
    <mergeCell ref="I37:I39"/>
    <mergeCell ref="I40:I42"/>
    <mergeCell ref="I44:I46"/>
    <mergeCell ref="I79:I81"/>
    <mergeCell ref="I82:I84"/>
    <mergeCell ref="I86:I88"/>
    <mergeCell ref="I89:I91"/>
    <mergeCell ref="I93:I95"/>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40:O42"/>
    <mergeCell ref="O44:O46"/>
    <mergeCell ref="O47:O49"/>
    <mergeCell ref="O51:O53"/>
    <mergeCell ref="O54:O56"/>
    <mergeCell ref="O58:O60"/>
    <mergeCell ref="O61:O63"/>
    <mergeCell ref="I72:I74"/>
    <mergeCell ref="I75:I77"/>
    <mergeCell ref="M72:M74"/>
    <mergeCell ref="M75:M77"/>
    <mergeCell ref="M79:M81"/>
    <mergeCell ref="M82:M84"/>
    <mergeCell ref="M86:M88"/>
    <mergeCell ref="M89:M91"/>
    <mergeCell ref="M93:M95"/>
    <mergeCell ref="M58:M60"/>
    <mergeCell ref="M61:M63"/>
    <mergeCell ref="M65:M67"/>
    <mergeCell ref="K68:K70"/>
    <mergeCell ref="M68:M70"/>
    <mergeCell ref="K72:K74"/>
    <mergeCell ref="K75:K77"/>
    <mergeCell ref="E100:E102"/>
    <mergeCell ref="E103:E105"/>
    <mergeCell ref="C86:C88"/>
    <mergeCell ref="C89:C91"/>
    <mergeCell ref="C93:C95"/>
    <mergeCell ref="C96:C98"/>
    <mergeCell ref="C100:C102"/>
    <mergeCell ref="G100:G102"/>
    <mergeCell ref="G103:G105"/>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C61:C63"/>
    <mergeCell ref="C65:C67"/>
    <mergeCell ref="C68:C70"/>
    <mergeCell ref="C72:C74"/>
    <mergeCell ref="C75:C77"/>
    <mergeCell ref="C79:C81"/>
    <mergeCell ref="C82:C84"/>
    <mergeCell ref="C103:C105"/>
    <mergeCell ref="C107:C109"/>
    <mergeCell ref="E107:E109"/>
    <mergeCell ref="F107:G109"/>
    <mergeCell ref="C110:C112"/>
    <mergeCell ref="E110:E112"/>
    <mergeCell ref="F110:G112"/>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54:Q56"/>
    <mergeCell ref="Q58:Q60"/>
    <mergeCell ref="Q61:Q63"/>
    <mergeCell ref="Q65:Q67"/>
    <mergeCell ref="Q68:Q70"/>
    <mergeCell ref="Q72:Q74"/>
    <mergeCell ref="Q75:Q77"/>
    <mergeCell ref="Q103:Q105"/>
    <mergeCell ref="Q107:Q109"/>
    <mergeCell ref="Q110:Q112"/>
    <mergeCell ref="Q79:Q81"/>
    <mergeCell ref="Q82:Q84"/>
    <mergeCell ref="Q86:Q88"/>
    <mergeCell ref="Q89:Q91"/>
    <mergeCell ref="Q93:Q95"/>
    <mergeCell ref="Q96:Q98"/>
    <mergeCell ref="Q100:Q102"/>
    <mergeCell ref="K37:K39"/>
    <mergeCell ref="K40:K42"/>
    <mergeCell ref="K44:K46"/>
    <mergeCell ref="K47:K49"/>
    <mergeCell ref="K51:K53"/>
    <mergeCell ref="K54:K56"/>
    <mergeCell ref="K58:K60"/>
    <mergeCell ref="K96:K98"/>
    <mergeCell ref="K100:K102"/>
    <mergeCell ref="K103:K105"/>
    <mergeCell ref="K107:K109"/>
    <mergeCell ref="K110:K112"/>
    <mergeCell ref="K61:K63"/>
    <mergeCell ref="K65:K67"/>
    <mergeCell ref="K79:K81"/>
    <mergeCell ref="K82:K84"/>
    <mergeCell ref="K86:K88"/>
    <mergeCell ref="K89:K91"/>
    <mergeCell ref="K93:K95"/>
    <mergeCell ref="G65:G67"/>
    <mergeCell ref="G68:G70"/>
    <mergeCell ref="G40:G42"/>
    <mergeCell ref="G44:G46"/>
    <mergeCell ref="G47:G49"/>
    <mergeCell ref="G51:G53"/>
    <mergeCell ref="G54:G56"/>
    <mergeCell ref="G58:G60"/>
    <mergeCell ref="G61:G63"/>
    <mergeCell ref="E75:E77"/>
    <mergeCell ref="E79:E81"/>
    <mergeCell ref="E82:E84"/>
    <mergeCell ref="E58:E60"/>
    <mergeCell ref="E61:E63"/>
    <mergeCell ref="E65:E67"/>
    <mergeCell ref="E68:E70"/>
    <mergeCell ref="E72:E74"/>
    <mergeCell ref="G72:G74"/>
    <mergeCell ref="G75:G77"/>
    <mergeCell ref="O65:O67"/>
    <mergeCell ref="O68:O70"/>
    <mergeCell ref="O72:O74"/>
    <mergeCell ref="O75:O77"/>
    <mergeCell ref="O79:O81"/>
    <mergeCell ref="O82:O84"/>
    <mergeCell ref="O86:O88"/>
    <mergeCell ref="M103:M105"/>
    <mergeCell ref="M107:M109"/>
    <mergeCell ref="M110:M112"/>
    <mergeCell ref="O107:O109"/>
    <mergeCell ref="O110:O112"/>
    <mergeCell ref="O89:O91"/>
    <mergeCell ref="O93:O95"/>
    <mergeCell ref="M96:M98"/>
    <mergeCell ref="O96:O98"/>
    <mergeCell ref="M100:M102"/>
    <mergeCell ref="O100:O102"/>
    <mergeCell ref="O103:O105"/>
    <mergeCell ref="E93:E95"/>
    <mergeCell ref="E96:E98"/>
    <mergeCell ref="I96:I98"/>
    <mergeCell ref="I100:I102"/>
    <mergeCell ref="I103:I105"/>
    <mergeCell ref="I107:I109"/>
    <mergeCell ref="I110:I112"/>
    <mergeCell ref="G79:G81"/>
    <mergeCell ref="G82:G84"/>
    <mergeCell ref="E86:E88"/>
    <mergeCell ref="G86:G88"/>
    <mergeCell ref="E89:E91"/>
    <mergeCell ref="G89:G91"/>
    <mergeCell ref="G93:G95"/>
    <mergeCell ref="G96:G98"/>
  </mergeCells>
  <hyperlinks>
    <hyperlink display="See Intro tab for&#10;Suggestions by Type" location="Intro!A1" ref="F107"/>
    <hyperlink display="See Intro tab for&#10;Suggestions by Type" location="Intro!A1" ref="F110"/>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6"/>
      <c r="B1" s="8" t="s">
        <v>933</v>
      </c>
      <c r="C1" s="10" t="s">
        <v>934</v>
      </c>
      <c r="D1" s="8" t="s">
        <v>935</v>
      </c>
      <c r="E1" s="10" t="s">
        <v>936</v>
      </c>
      <c r="F1" s="8" t="s">
        <v>937</v>
      </c>
      <c r="G1" s="10" t="s">
        <v>938</v>
      </c>
      <c r="H1" s="8" t="s">
        <v>939</v>
      </c>
      <c r="I1" s="10" t="s">
        <v>940</v>
      </c>
      <c r="J1" s="8" t="s">
        <v>941</v>
      </c>
      <c r="K1" s="10" t="s">
        <v>942</v>
      </c>
      <c r="L1" s="8" t="s">
        <v>943</v>
      </c>
      <c r="M1" s="10" t="s">
        <v>944</v>
      </c>
      <c r="N1" s="8" t="s">
        <v>945</v>
      </c>
      <c r="O1" s="10" t="s">
        <v>946</v>
      </c>
      <c r="P1" s="8" t="s">
        <v>947</v>
      </c>
      <c r="Q1" s="10" t="s">
        <v>948</v>
      </c>
      <c r="R1" s="14"/>
    </row>
    <row r="2" ht="26.25" customHeight="1">
      <c r="A2" s="15"/>
      <c r="B2" s="16" t="str">
        <f>image("https://i.imgur.com/RqSOGo6.png")</f>
        <v/>
      </c>
      <c r="C2" s="20" t="str">
        <f>image("https://pokejungle.net/sprites/normal/"&amp;B1&amp;".png")</f>
        <v/>
      </c>
      <c r="D2" s="16" t="str">
        <f>image("https://i.imgur.com/VQL4lPa.png")</f>
        <v/>
      </c>
      <c r="E2" s="20" t="str">
        <f>image("https://pokejungle.net/sprites/normal/"&amp;D1&amp;".png")</f>
        <v/>
      </c>
      <c r="F2" s="16" t="str">
        <f>image("https://i.imgur.com/VQL4lPa.png")</f>
        <v/>
      </c>
      <c r="G2" s="20" t="str">
        <f>image("https://pokejungle.net/sprites/normal/"&amp;F1&amp;".png")</f>
        <v/>
      </c>
      <c r="H2" s="24" t="str">
        <f>image("https://i.imgur.com/VQL4lPa.png")</f>
        <v/>
      </c>
      <c r="I2" s="20" t="str">
        <f>image("https://pokejungle.net/sprites/normal/"&amp;H1&amp;".png")</f>
        <v/>
      </c>
      <c r="J2" s="16" t="str">
        <f>image("https://i.imgur.com/RqSOGo6.png")</f>
        <v/>
      </c>
      <c r="K2" s="20" t="str">
        <f>image("https://pokejungle.net/sprites/normal/"&amp;J1&amp;".png")</f>
        <v/>
      </c>
      <c r="L2" s="28" t="str">
        <f>image("https://i.imgur.com/RqSOGo6.png")</f>
        <v/>
      </c>
      <c r="M2" s="20" t="str">
        <f>image("https://pokejungle.net/sprites/normal/"&amp;L1&amp;".png")</f>
        <v/>
      </c>
      <c r="N2" s="16" t="str">
        <f>image("https://i.imgur.com/RqSOGo6.png")</f>
        <v/>
      </c>
      <c r="O2" s="20" t="str">
        <f>image("https://pokejungle.net/sprites/normal/"&amp;N1&amp;".png")</f>
        <v/>
      </c>
      <c r="P2" s="16" t="str">
        <f>image("https://i.imgur.com/XNzvO0H.png")</f>
        <v/>
      </c>
      <c r="Q2" s="20" t="str">
        <f>image("https://pokejungle.net/sprites/normal/"&amp;P1&amp;".png")</f>
        <v/>
      </c>
      <c r="R2" s="33"/>
    </row>
    <row r="3" ht="26.25" customHeight="1">
      <c r="A3" s="15"/>
      <c r="B3" s="38" t="str">
        <f>image("https://i.imgur.com/bxys1sd.png")</f>
        <v/>
      </c>
      <c r="C3" s="36"/>
      <c r="D3" s="35" t="str">
        <f>image("https://i.imgur.com/XIu6jDl.png")</f>
        <v/>
      </c>
      <c r="E3" s="36"/>
      <c r="F3" s="35" t="str">
        <f>image("https://i.imgur.com/XIu6jDl.png")</f>
        <v/>
      </c>
      <c r="G3" s="36"/>
      <c r="H3" s="37" t="str">
        <f>image("https://i.imgur.com/XIu6jDl.png")</f>
        <v/>
      </c>
      <c r="I3" s="36"/>
      <c r="J3" s="38" t="str">
        <f>image("https://i.imgur.com/rJhTvoD.png")</f>
        <v/>
      </c>
      <c r="K3" s="36"/>
      <c r="L3" s="38" t="str">
        <f>image("https://i.imgur.com/rJhTvoD.png")</f>
        <v/>
      </c>
      <c r="M3" s="36"/>
      <c r="N3" s="38" t="str">
        <f>image("https://i.imgur.com/rJhTvoD.png")</f>
        <v/>
      </c>
      <c r="O3" s="36"/>
      <c r="P3" s="38" t="str">
        <f>image("https://i.imgur.com/zpybKax.png")</f>
        <v/>
      </c>
      <c r="Q3" s="36"/>
      <c r="R3" s="33"/>
    </row>
    <row r="4" ht="26.25" customHeight="1">
      <c r="A4" s="15"/>
      <c r="B4" s="40" t="str">
        <f>image("https://i.imgur.com/aeqHLEh.png")</f>
        <v/>
      </c>
      <c r="C4" s="41"/>
      <c r="D4" s="40" t="str">
        <f>image("https://i.imgur.com/rJhTvoD.png")</f>
        <v/>
      </c>
      <c r="E4" s="41"/>
      <c r="F4" s="40" t="str">
        <f>image("https://i.imgur.com/rJhTvoD.png")</f>
        <v/>
      </c>
      <c r="G4" s="41"/>
      <c r="H4" s="40" t="str">
        <f>image("https://i.imgur.com/rJhTvoD.png")</f>
        <v/>
      </c>
      <c r="I4" s="41"/>
      <c r="J4" s="40"/>
      <c r="K4" s="41"/>
      <c r="L4" s="40"/>
      <c r="M4" s="41"/>
      <c r="N4" s="40"/>
      <c r="O4" s="41"/>
      <c r="P4" s="40"/>
      <c r="Q4" s="41"/>
      <c r="R4" s="33"/>
    </row>
    <row r="5" ht="26.25" customHeight="1">
      <c r="A5" s="15"/>
      <c r="B5" s="77" t="s">
        <v>995</v>
      </c>
      <c r="C5" s="20" t="str">
        <f>image("https://img.pokemondb.net/sprites/home/shiny/victini.png")</f>
        <v/>
      </c>
      <c r="D5" s="16" t="str">
        <f>image("https://i.imgur.com/JDgAgAO.png")</f>
        <v/>
      </c>
      <c r="E5" s="20" t="str">
        <f>image("https://pokejungle.net/sprites/shiny/"&amp;D1&amp;".png")</f>
        <v/>
      </c>
      <c r="F5" s="16" t="str">
        <f>image("https://i.imgur.com/JDgAgAO.png")</f>
        <v/>
      </c>
      <c r="G5" s="20" t="str">
        <f>image("https://pokejungle.net/sprites/shiny/"&amp;F1&amp;".png")</f>
        <v/>
      </c>
      <c r="H5" s="16" t="str">
        <f>image("https://i.imgur.com/JDgAgAO.png")</f>
        <v/>
      </c>
      <c r="I5" s="20" t="str">
        <f>image("https://pokejungle.net/sprites/shiny/"&amp;H1&amp;".png")</f>
        <v/>
      </c>
      <c r="J5" s="16" t="str">
        <f>image("https://i.imgur.com/RqSOGo6.png")</f>
        <v/>
      </c>
      <c r="K5" s="20" t="str">
        <f>image("https://pokejungle.net/sprites/shiny/"&amp;J1&amp;".png")</f>
        <v/>
      </c>
      <c r="L5" s="16" t="str">
        <f>image("https://i.imgur.com/RqSOGo6.png")</f>
        <v/>
      </c>
      <c r="M5" s="20" t="str">
        <f>image("https://pokejungle.net/sprites/shiny/"&amp;L1&amp;".png")</f>
        <v/>
      </c>
      <c r="N5" s="16" t="str">
        <f>image("https://i.imgur.com/NkILW1J.png")</f>
        <v/>
      </c>
      <c r="O5" s="20" t="str">
        <f>image("https://pokejungle.net/sprites/shiny/"&amp;N1&amp;".png")</f>
        <v/>
      </c>
      <c r="P5" s="16" t="str">
        <f>image("https://i.imgur.com/XNzvO0H.png")</f>
        <v/>
      </c>
      <c r="Q5" s="20" t="str">
        <f>image("https://pokejungle.net/sprites/shiny/"&amp;P1&amp;".png")</f>
        <v/>
      </c>
      <c r="R5" s="33"/>
    </row>
    <row r="6" ht="26.25" customHeight="1">
      <c r="A6" s="15"/>
      <c r="B6" s="78"/>
      <c r="C6" s="36"/>
      <c r="D6" s="46" t="str">
        <f>image("https://i.imgur.com/zpybKax.png")</f>
        <v/>
      </c>
      <c r="E6" s="36"/>
      <c r="F6" s="46" t="str">
        <f>image("https://i.imgur.com/zpybKax.png")</f>
        <v/>
      </c>
      <c r="G6" s="36"/>
      <c r="H6" s="46" t="str">
        <f>image("https://i.imgur.com/zpybKax.png")</f>
        <v/>
      </c>
      <c r="I6" s="36"/>
      <c r="J6" s="38" t="str">
        <f>image("https://i.imgur.com/rJhTvoD.png")</f>
        <v/>
      </c>
      <c r="K6" s="36"/>
      <c r="L6" s="46"/>
      <c r="M6" s="36"/>
      <c r="N6" s="38" t="str">
        <f>image("https://i.imgur.com/XzidFHI.png")</f>
        <v/>
      </c>
      <c r="O6" s="36"/>
      <c r="P6" s="38" t="str">
        <f>image("https://i.imgur.com/zpybKax.png")</f>
        <v/>
      </c>
      <c r="Q6" s="36"/>
      <c r="R6" s="33"/>
    </row>
    <row r="7" ht="26.25" customHeight="1">
      <c r="A7" s="15"/>
      <c r="B7" s="79"/>
      <c r="C7" s="41"/>
      <c r="D7" s="43" t="str">
        <f>image("https://i.imgur.com/XzidFHI.png")</f>
        <v/>
      </c>
      <c r="E7" s="41"/>
      <c r="F7" s="43" t="str">
        <f>image("https://i.imgur.com/XzidFHI.png")</f>
        <v/>
      </c>
      <c r="G7" s="41"/>
      <c r="H7" s="43" t="str">
        <f>image("https://i.imgur.com/XzidFHI.png")</f>
        <v/>
      </c>
      <c r="I7" s="41"/>
      <c r="J7" s="40" t="str">
        <f>image("https://i.imgur.com/EkqYYOB.png")</f>
        <v/>
      </c>
      <c r="K7" s="41"/>
      <c r="L7" s="43"/>
      <c r="M7" s="41"/>
      <c r="N7" s="40"/>
      <c r="O7" s="41"/>
      <c r="P7" s="40"/>
      <c r="Q7" s="41"/>
      <c r="R7" s="33"/>
    </row>
    <row r="8" ht="18.75" customHeight="1">
      <c r="A8" s="6"/>
      <c r="B8" s="8" t="s">
        <v>1003</v>
      </c>
      <c r="C8" s="10" t="s">
        <v>1007</v>
      </c>
      <c r="D8" s="8" t="s">
        <v>1010</v>
      </c>
      <c r="E8" s="10" t="s">
        <v>1013</v>
      </c>
      <c r="F8" s="8" t="s">
        <v>1010</v>
      </c>
      <c r="G8" s="10" t="s">
        <v>1018</v>
      </c>
      <c r="H8" s="8" t="s">
        <v>1020</v>
      </c>
      <c r="I8" s="10" t="s">
        <v>1023</v>
      </c>
      <c r="J8" s="8" t="s">
        <v>1026</v>
      </c>
      <c r="K8" s="10" t="s">
        <v>1029</v>
      </c>
      <c r="L8" s="8" t="s">
        <v>1031</v>
      </c>
      <c r="M8" s="10" t="s">
        <v>1034</v>
      </c>
      <c r="N8" s="8" t="s">
        <v>1037</v>
      </c>
      <c r="O8" s="10" t="s">
        <v>1039</v>
      </c>
      <c r="P8" s="8" t="s">
        <v>1041</v>
      </c>
      <c r="Q8" s="10" t="s">
        <v>1042</v>
      </c>
      <c r="R8" s="14"/>
    </row>
    <row r="9" ht="26.25" customHeight="1">
      <c r="A9" s="15"/>
      <c r="B9" s="16" t="str">
        <f>image("https://i.imgur.com/JDgAgAO.png")</f>
        <v/>
      </c>
      <c r="C9" s="20" t="str">
        <f>image("https://pokejungle.net/sprites/normal/"&amp;B8&amp;".png")</f>
        <v/>
      </c>
      <c r="D9" s="16" t="str">
        <f>image("https://i.imgur.com/JDgAgAO.png")</f>
        <v/>
      </c>
      <c r="E9" s="20" t="str">
        <f>image("https://pokejungle.net/sprites/normal/"&amp;D8&amp;".png")</f>
        <v/>
      </c>
      <c r="F9" s="16" t="str">
        <f>image("https://i.imgur.com/JOd7Boe.png")</f>
        <v/>
      </c>
      <c r="G9" s="20" t="str">
        <f>image("https://pokejungle.net/sprites/normal/"&amp;F8&amp;"-1.png")</f>
        <v/>
      </c>
      <c r="H9" s="16" t="str">
        <f>image("https://i.imgur.com/rJhTvoD.png")</f>
        <v/>
      </c>
      <c r="I9" s="20" t="str">
        <f>image("https://pokejungle.net/sprites/normal/"&amp;H8&amp;".png")</f>
        <v/>
      </c>
      <c r="J9" s="16" t="str">
        <f>image("https://i.imgur.com/rJhTvoD.png")</f>
        <v/>
      </c>
      <c r="K9" s="20" t="str">
        <f>image("https://pokejungle.net/sprites/normal/"&amp;J8&amp;".png")</f>
        <v/>
      </c>
      <c r="L9" s="28" t="str">
        <f>image("https://i.imgur.com/EkqYYOB.png")</f>
        <v/>
      </c>
      <c r="M9" s="20" t="str">
        <f>image("https://pokejungle.net/sprites/normal/"&amp;L8&amp;".png")</f>
        <v/>
      </c>
      <c r="N9" s="16" t="str">
        <f>image("https://i.imgur.com/EkqYYOB.png")</f>
        <v/>
      </c>
      <c r="O9" s="20" t="str">
        <f>image("https://pokejungle.net/sprites/normal/"&amp;N8&amp;".png")</f>
        <v/>
      </c>
      <c r="P9" s="16" t="str">
        <f>image("https://i.imgur.com/EkqYYOB.png")</f>
        <v/>
      </c>
      <c r="Q9" s="20" t="str">
        <f>image("https://pokejungle.net/sprites/normal/"&amp;P8&amp;".png")</f>
        <v/>
      </c>
      <c r="R9" s="33"/>
    </row>
    <row r="10" ht="26.25" customHeight="1">
      <c r="A10" s="15"/>
      <c r="B10" s="38" t="str">
        <f>image("https://i.imgur.com/XzidFHI.png")</f>
        <v/>
      </c>
      <c r="C10" s="36"/>
      <c r="D10" s="35" t="str">
        <f>image("https://i.imgur.com/XNzvO0H.png")</f>
        <v/>
      </c>
      <c r="E10" s="36"/>
      <c r="F10" s="35" t="str">
        <f>image("https://i.imgur.com/SF5CZ6U.png")</f>
        <v/>
      </c>
      <c r="G10" s="36"/>
      <c r="H10" s="38" t="str">
        <f>image("https://i.imgur.com/RqSOGo6.png")</f>
        <v/>
      </c>
      <c r="I10" s="36"/>
      <c r="J10" s="38" t="str">
        <f>image("https://i.imgur.com/RqSOGo6.png")</f>
        <v/>
      </c>
      <c r="K10" s="36"/>
      <c r="L10" s="35" t="str">
        <f>image("https://i.imgur.com/XIu6jDl.png")</f>
        <v/>
      </c>
      <c r="M10" s="36"/>
      <c r="N10" s="38" t="str">
        <f>image("https://i.imgur.com/SF5CZ6U.png")</f>
        <v/>
      </c>
      <c r="O10" s="36"/>
      <c r="P10" s="38"/>
      <c r="Q10" s="36"/>
      <c r="R10" s="33"/>
    </row>
    <row r="11" ht="26.25" customHeight="1">
      <c r="A11" s="15"/>
      <c r="B11" s="40" t="str">
        <f t="shared" ref="B11:B12" si="1">image("https://i.imgur.com/XNzvO0H.png")</f>
        <v/>
      </c>
      <c r="C11" s="41"/>
      <c r="D11" s="40" t="str">
        <f t="shared" ref="D11:D12" si="2">image("https://i.imgur.com/zpybKax.png")</f>
        <v/>
      </c>
      <c r="E11" s="41"/>
      <c r="F11" s="40" t="str">
        <f>image("https://i.imgur.com/ef1o2lD.png")</f>
        <v/>
      </c>
      <c r="G11" s="41"/>
      <c r="H11" s="40" t="str">
        <f>image("https://i.imgur.com/XIu6jDl.png")</f>
        <v/>
      </c>
      <c r="I11" s="41"/>
      <c r="J11" s="40" t="str">
        <f>image("https://i.imgur.com/beHgI95.png")</f>
        <v/>
      </c>
      <c r="K11" s="41"/>
      <c r="L11" s="43"/>
      <c r="M11" s="41"/>
      <c r="N11" s="40"/>
      <c r="O11" s="41"/>
      <c r="P11" s="40"/>
      <c r="Q11" s="41"/>
      <c r="R11" s="33"/>
    </row>
    <row r="12" ht="26.25" customHeight="1">
      <c r="A12" s="15"/>
      <c r="B12" s="16" t="str">
        <f t="shared" si="1"/>
        <v/>
      </c>
      <c r="C12" s="20" t="str">
        <f>image("https://pokejungle.net/sprites/shiny/"&amp;B8&amp;".png")</f>
        <v/>
      </c>
      <c r="D12" s="16" t="str">
        <f t="shared" si="2"/>
        <v/>
      </c>
      <c r="E12" s="20" t="str">
        <f>image("https://pokejungle.net/sprites/shiny/"&amp;D8&amp;".png")</f>
        <v/>
      </c>
      <c r="F12" s="16" t="str">
        <f>image("https://i.imgur.com/XNzvO0H.png")</f>
        <v/>
      </c>
      <c r="G12" s="20" t="str">
        <f>image("https://pokejungle.net/sprites/shiny/"&amp;F8&amp;"-1.png")</f>
        <v/>
      </c>
      <c r="H12" s="16" t="str">
        <f>image("https://i.imgur.com/JDgAgAO.png")</f>
        <v/>
      </c>
      <c r="I12" s="20" t="str">
        <f>image("https://pokejungle.net/sprites/shiny/"&amp;H8&amp;".png")</f>
        <v/>
      </c>
      <c r="J12" s="28" t="str">
        <f>image("https://i.imgur.com/N2Wqr43.png")</f>
        <v/>
      </c>
      <c r="K12" s="20" t="str">
        <f>image("https://pokejungle.net/sprites/shiny/"&amp;J8&amp;".png")</f>
        <v/>
      </c>
      <c r="L12" s="16" t="str">
        <f>image("https://i.imgur.com/EkqYYOB.png")</f>
        <v/>
      </c>
      <c r="M12" s="20" t="str">
        <f>image("https://pokejungle.net/sprites/shiny/"&amp;L8&amp;".png")</f>
        <v/>
      </c>
      <c r="N12" s="16" t="str">
        <f>image("https://i.imgur.com/EkqYYOB.png")</f>
        <v/>
      </c>
      <c r="O12" s="20" t="str">
        <f>image("https://pokejungle.net/sprites/shiny/"&amp;N8&amp;".png")</f>
        <v/>
      </c>
      <c r="P12" s="16" t="str">
        <f>image("https://i.imgur.com/EkqYYOB.png")</f>
        <v/>
      </c>
      <c r="Q12" s="20" t="str">
        <f>image("https://pokejungle.net/sprites/shiny/"&amp;P8&amp;".png")</f>
        <v/>
      </c>
      <c r="R12" s="33"/>
    </row>
    <row r="13" ht="26.25" customHeight="1">
      <c r="A13" s="15"/>
      <c r="B13" s="38" t="str">
        <f>image("https://i.imgur.com/XzidFHI.png")</f>
        <v/>
      </c>
      <c r="C13" s="36"/>
      <c r="D13" s="46" t="str">
        <f>image("https://i.imgur.com/XNzvO0H.png")</f>
        <v/>
      </c>
      <c r="E13" s="36"/>
      <c r="F13" s="35" t="str">
        <f>image("https://i.imgur.com/SF5CZ6U.png")</f>
        <v/>
      </c>
      <c r="G13" s="36"/>
      <c r="H13" s="46" t="str">
        <f>image("https://i.imgur.com/zpybKax.png")</f>
        <v/>
      </c>
      <c r="I13" s="36"/>
      <c r="J13" s="46" t="str">
        <f>image("https://i.imgur.com/VQL4lPa.png")</f>
        <v/>
      </c>
      <c r="K13" s="36"/>
      <c r="L13" s="46" t="str">
        <f>image("https://i.imgur.com/XIu6jDl.png")</f>
        <v/>
      </c>
      <c r="M13" s="36"/>
      <c r="N13" s="38" t="str">
        <f>image("https://i.imgur.com/XIu6jDl.png")</f>
        <v/>
      </c>
      <c r="O13" s="36"/>
      <c r="P13" s="38"/>
      <c r="Q13" s="36"/>
      <c r="R13" s="33"/>
    </row>
    <row r="14" ht="26.25" customHeight="1">
      <c r="A14" s="15"/>
      <c r="B14" s="40"/>
      <c r="C14" s="41"/>
      <c r="D14" s="43" t="str">
        <f>image("https://i.imgur.com/JDgAgAO.png")</f>
        <v/>
      </c>
      <c r="E14" s="41"/>
      <c r="F14" s="43" t="str">
        <f>image("https://i.imgur.com/XzidFHI.png")</f>
        <v/>
      </c>
      <c r="G14" s="41"/>
      <c r="H14" s="40" t="str">
        <f>image("https://i.imgur.com/XIu6jDl.png")</f>
        <v/>
      </c>
      <c r="I14" s="41"/>
      <c r="J14" s="40" t="str">
        <f>image("https://i.imgur.com/XIu6jDl.png")</f>
        <v/>
      </c>
      <c r="K14" s="41"/>
      <c r="L14" s="43"/>
      <c r="M14" s="41"/>
      <c r="N14" s="40"/>
      <c r="O14" s="41"/>
      <c r="P14" s="40"/>
      <c r="Q14" s="41"/>
      <c r="R14" s="33"/>
    </row>
    <row r="15" ht="18.75" customHeight="1">
      <c r="A15" s="6"/>
      <c r="B15" s="8" t="s">
        <v>1081</v>
      </c>
      <c r="C15" s="10" t="s">
        <v>1082</v>
      </c>
      <c r="D15" s="8" t="s">
        <v>1083</v>
      </c>
      <c r="E15" s="10" t="s">
        <v>1084</v>
      </c>
      <c r="F15" s="8" t="s">
        <v>1085</v>
      </c>
      <c r="G15" s="10" t="s">
        <v>1086</v>
      </c>
      <c r="H15" s="8" t="s">
        <v>1087</v>
      </c>
      <c r="I15" s="10" t="s">
        <v>1088</v>
      </c>
      <c r="J15" s="8" t="s">
        <v>1089</v>
      </c>
      <c r="K15" s="10" t="s">
        <v>1090</v>
      </c>
      <c r="L15" s="8" t="s">
        <v>1091</v>
      </c>
      <c r="M15" s="10" t="s">
        <v>1092</v>
      </c>
      <c r="N15" s="8" t="s">
        <v>1093</v>
      </c>
      <c r="O15" s="10" t="s">
        <v>1094</v>
      </c>
      <c r="P15" s="8" t="s">
        <v>1095</v>
      </c>
      <c r="Q15" s="10" t="s">
        <v>1096</v>
      </c>
      <c r="R15" s="14"/>
    </row>
    <row r="16" ht="26.25" customHeight="1">
      <c r="A16" s="15"/>
      <c r="B16" s="16" t="str">
        <f>image("https://i.imgur.com/rAI9Gyi.png")</f>
        <v/>
      </c>
      <c r="C16" s="20" t="str">
        <f>image("https://pokejungle.net/sprites/normal/"&amp;B15&amp;".png")</f>
        <v/>
      </c>
      <c r="D16" s="16" t="str">
        <f>image("https://i.imgur.com/rAI9Gyi.png")</f>
        <v/>
      </c>
      <c r="E16" s="20" t="str">
        <f>image("https://pokejungle.net/sprites/normal/"&amp;D15&amp;".png")</f>
        <v/>
      </c>
      <c r="F16" s="16" t="str">
        <f>image("https://i.imgur.com/VQL4lPa.png")</f>
        <v/>
      </c>
      <c r="G16" s="20" t="str">
        <f>image("https://pokejungle.net/sprites/normal/"&amp;F15&amp;".png")</f>
        <v/>
      </c>
      <c r="H16" s="16" t="str">
        <f>image("https://i.imgur.com/VQL4lPa.png")</f>
        <v/>
      </c>
      <c r="I16" s="20" t="str">
        <f>image("https://pokejungle.net/sprites/normal/"&amp;H15&amp;".png")</f>
        <v/>
      </c>
      <c r="J16" s="24" t="str">
        <f>image("https://i.imgur.com/lKAfx6k.png")</f>
        <v/>
      </c>
      <c r="K16" s="20" t="str">
        <f>image("https://pokejungle.net/sprites/normal/"&amp;J15&amp;".png")</f>
        <v/>
      </c>
      <c r="L16" s="24" t="str">
        <f>image("https://i.imgur.com/lKAfx6k.png")</f>
        <v/>
      </c>
      <c r="M16" s="20" t="str">
        <f>image("https://pokejungle.net/sprites/normal/"&amp;L15&amp;".png")</f>
        <v/>
      </c>
      <c r="N16" s="16" t="str">
        <f>image("https://i.imgur.com/ef1o2lD.png")</f>
        <v/>
      </c>
      <c r="O16" s="20" t="str">
        <f>image("https://pokejungle.net/sprites/normal/"&amp;N15&amp;".png")</f>
        <v/>
      </c>
      <c r="P16" s="16" t="str">
        <f>image("https://i.imgur.com/ef1o2lD.png")</f>
        <v/>
      </c>
      <c r="Q16" s="20" t="str">
        <f>image("https://pokejungle.net/sprites/normal/"&amp;P15&amp;".png")</f>
        <v/>
      </c>
      <c r="R16" s="33"/>
    </row>
    <row r="17" ht="26.25" customHeight="1">
      <c r="A17" s="15"/>
      <c r="B17" s="38" t="str">
        <f>image("https://i.imgur.com/XI18XGu.png")</f>
        <v/>
      </c>
      <c r="C17" s="36"/>
      <c r="D17" s="35" t="str">
        <f>image("https://i.imgur.com/XI18XGu.png")</f>
        <v/>
      </c>
      <c r="E17" s="36"/>
      <c r="F17" s="35" t="str">
        <f>image("https://i.imgur.com/XIu6jDl.png")</f>
        <v/>
      </c>
      <c r="G17" s="36"/>
      <c r="H17" s="35" t="str">
        <f>image("https://i.imgur.com/XIu6jDl.png")</f>
        <v/>
      </c>
      <c r="I17" s="36"/>
      <c r="J17" s="38" t="str">
        <f>image("https://i.imgur.com/RqSOGo6.png")</f>
        <v/>
      </c>
      <c r="K17" s="36"/>
      <c r="L17" s="38" t="str">
        <f>image("https://i.imgur.com/RqSOGo6.png")</f>
        <v/>
      </c>
      <c r="M17" s="36"/>
      <c r="N17" s="38" t="str">
        <f>image("https://i.imgur.com/JDgAgAO.png")</f>
        <v/>
      </c>
      <c r="O17" s="36"/>
      <c r="P17" s="38" t="str">
        <f>image("https://i.imgur.com/JDgAgAO.png")</f>
        <v/>
      </c>
      <c r="Q17" s="36"/>
      <c r="R17" s="33"/>
    </row>
    <row r="18" ht="26.25" customHeight="1">
      <c r="A18" s="15"/>
      <c r="B18" s="40" t="str">
        <f>image("https://i.imgur.com/nNTmuH8.png")</f>
        <v/>
      </c>
      <c r="C18" s="41"/>
      <c r="D18" s="40" t="str">
        <f>image("https://i.imgur.com/nNTmuH8.png")</f>
        <v/>
      </c>
      <c r="E18" s="41"/>
      <c r="F18" s="40"/>
      <c r="G18" s="41"/>
      <c r="H18" s="40"/>
      <c r="I18" s="41"/>
      <c r="J18" s="40" t="str">
        <f>image("https://i.imgur.com/rJhTvoD.png")</f>
        <v/>
      </c>
      <c r="K18" s="41"/>
      <c r="L18" s="40" t="str">
        <f>image("https://i.imgur.com/rJhTvoD.png")</f>
        <v/>
      </c>
      <c r="M18" s="41"/>
      <c r="N18" s="40" t="str">
        <f>image("https://i.imgur.com/XNzvO0H.png")</f>
        <v/>
      </c>
      <c r="O18" s="41"/>
      <c r="P18" s="40" t="str">
        <f>image("https://i.imgur.com/XNzvO0H.png")</f>
        <v/>
      </c>
      <c r="Q18" s="41"/>
      <c r="R18" s="33"/>
    </row>
    <row r="19" ht="26.25" customHeight="1">
      <c r="A19" s="15"/>
      <c r="B19" s="16" t="str">
        <f>image("https://i.imgur.com/JDgAgAO.png")</f>
        <v/>
      </c>
      <c r="C19" s="20" t="str">
        <f>image("https://pokejungle.net/sprites/shiny/"&amp;B15&amp;".png")</f>
        <v/>
      </c>
      <c r="D19" s="16" t="str">
        <f>image("https://i.imgur.com/EkqYYOB.png")</f>
        <v/>
      </c>
      <c r="E19" s="20" t="str">
        <f>image("https://pokejungle.net/sprites/shiny/"&amp;D15&amp;".png")</f>
        <v/>
      </c>
      <c r="F19" s="16" t="str">
        <f>image("https://i.imgur.com/VQL4lPa.png")</f>
        <v/>
      </c>
      <c r="G19" s="20" t="str">
        <f>image("https://pokejungle.net/sprites/shiny/"&amp;F15&amp;".png")</f>
        <v/>
      </c>
      <c r="H19" s="16" t="str">
        <f>image("https://i.imgur.com/VQL4lPa.png")</f>
        <v/>
      </c>
      <c r="I19" s="20" t="str">
        <f>image("https://pokejungle.net/sprites/shiny/"&amp;H15&amp;".png")</f>
        <v/>
      </c>
      <c r="J19" s="24" t="str">
        <f>image("https://i.imgur.com/lKAfx6k.png")</f>
        <v/>
      </c>
      <c r="K19" s="20" t="str">
        <f>image("https://pokejungle.net/sprites/shiny/"&amp;J15&amp;".png")</f>
        <v/>
      </c>
      <c r="L19" s="24" t="str">
        <f>image("https://i.imgur.com/lKAfx6k.png")</f>
        <v/>
      </c>
      <c r="M19" s="20" t="str">
        <f>image("https://pokejungle.net/sprites/shiny/"&amp;L15&amp;".png")</f>
        <v/>
      </c>
      <c r="N19" s="16" t="str">
        <f>image("https://i.imgur.com/ef1o2lD.png")</f>
        <v/>
      </c>
      <c r="O19" s="20" t="str">
        <f>image("https://pokejungle.net/sprites/shiny/"&amp;N15&amp;".png")</f>
        <v/>
      </c>
      <c r="P19" s="16" t="str">
        <f>image("https://i.imgur.com/ef1o2lD.png")</f>
        <v/>
      </c>
      <c r="Q19" s="20" t="str">
        <f>image("https://pokejungle.net/sprites/shiny/"&amp;P15&amp;".png")</f>
        <v/>
      </c>
      <c r="R19" s="33"/>
    </row>
    <row r="20" ht="26.25" customHeight="1">
      <c r="A20" s="15"/>
      <c r="B20" s="35" t="str">
        <f>image("https://i.imgur.com/SF5CZ6U.png")</f>
        <v/>
      </c>
      <c r="C20" s="36"/>
      <c r="D20" s="46" t="str">
        <f>image("https://i.imgur.com/rJhTvoD.png")</f>
        <v/>
      </c>
      <c r="E20" s="36"/>
      <c r="F20" s="35" t="str">
        <f>image("https://i.imgur.com/XIu6jDl.png")</f>
        <v/>
      </c>
      <c r="G20" s="36"/>
      <c r="H20" s="35" t="str">
        <f>image("https://i.imgur.com/XIu6jDl.png")</f>
        <v/>
      </c>
      <c r="I20" s="36"/>
      <c r="J20" s="38" t="str">
        <f>image("https://i.imgur.com/RqSOGo6.png")</f>
        <v/>
      </c>
      <c r="K20" s="36"/>
      <c r="L20" s="38" t="str">
        <f>image("https://i.imgur.com/RqSOGo6.png")</f>
        <v/>
      </c>
      <c r="M20" s="36"/>
      <c r="N20" s="38" t="str">
        <f>image("https://i.imgur.com/JDgAgAO.png")</f>
        <v/>
      </c>
      <c r="O20" s="36"/>
      <c r="P20" s="38" t="str">
        <f>image("https://i.imgur.com/JDgAgAO.png")</f>
        <v/>
      </c>
      <c r="Q20" s="36"/>
      <c r="R20" s="33"/>
    </row>
    <row r="21" ht="26.25" customHeight="1">
      <c r="A21" s="15"/>
      <c r="B21" s="40"/>
      <c r="C21" s="41"/>
      <c r="D21" s="40" t="str">
        <f>image("https://i.imgur.com/lpOVjtL.png")</f>
        <v/>
      </c>
      <c r="E21" s="41"/>
      <c r="F21" s="40"/>
      <c r="G21" s="41"/>
      <c r="H21" s="43"/>
      <c r="I21" s="41"/>
      <c r="J21" s="40" t="str">
        <f>image("https://i.imgur.com/rJhTvoD.png")</f>
        <v/>
      </c>
      <c r="K21" s="41"/>
      <c r="L21" s="40" t="str">
        <f>image("https://i.imgur.com/rJhTvoD.png")</f>
        <v/>
      </c>
      <c r="M21" s="41"/>
      <c r="N21" s="40" t="str">
        <f>image("https://i.imgur.com/XNzvO0H.png")</f>
        <v/>
      </c>
      <c r="O21" s="41"/>
      <c r="P21" s="40" t="str">
        <f>image("https://i.imgur.com/XNzvO0H.png")</f>
        <v/>
      </c>
      <c r="Q21" s="41"/>
      <c r="R21" s="33"/>
    </row>
    <row r="22" ht="18.75" customHeight="1">
      <c r="A22" s="6"/>
      <c r="B22" s="8" t="s">
        <v>1165</v>
      </c>
      <c r="C22" s="10" t="s">
        <v>1166</v>
      </c>
      <c r="D22" s="8" t="s">
        <v>1167</v>
      </c>
      <c r="E22" s="10" t="s">
        <v>1168</v>
      </c>
      <c r="F22" s="8" t="s">
        <v>1169</v>
      </c>
      <c r="G22" s="10" t="s">
        <v>1170</v>
      </c>
      <c r="H22" s="8" t="s">
        <v>1171</v>
      </c>
      <c r="I22" s="10" t="s">
        <v>1172</v>
      </c>
      <c r="J22" s="8" t="s">
        <v>1173</v>
      </c>
      <c r="K22" s="10" t="s">
        <v>1174</v>
      </c>
      <c r="L22" s="8" t="s">
        <v>1173</v>
      </c>
      <c r="M22" s="10" t="s">
        <v>1177</v>
      </c>
      <c r="N22" s="8" t="s">
        <v>1179</v>
      </c>
      <c r="O22" s="10" t="s">
        <v>1181</v>
      </c>
      <c r="P22" s="8" t="s">
        <v>1182</v>
      </c>
      <c r="Q22" s="10" t="s">
        <v>1184</v>
      </c>
      <c r="R22" s="14"/>
    </row>
    <row r="23" ht="26.25" customHeight="1">
      <c r="A23" s="15"/>
      <c r="B23" s="16" t="str">
        <f>image("https://i.imgur.com/XI18XGu.png")</f>
        <v/>
      </c>
      <c r="C23" s="20" t="str">
        <f>image("https://pokejungle.net/sprites/normal/"&amp;B22&amp;".png")</f>
        <v/>
      </c>
      <c r="D23" s="16" t="str">
        <f>image("https://i.imgur.com/XI18XGu.png")</f>
        <v/>
      </c>
      <c r="E23" s="20" t="str">
        <f>image("https://pokejungle.net/sprites/normal/"&amp;D22&amp;".png")</f>
        <v/>
      </c>
      <c r="F23" s="16" t="str">
        <f>image("https://i.imgur.com/EkqYYOB.png")</f>
        <v/>
      </c>
      <c r="G23" s="20" t="str">
        <f>image("https://pokejungle.net/sprites/normal/"&amp;F22&amp;".png")</f>
        <v/>
      </c>
      <c r="H23" s="24" t="str">
        <f>image("https://i.imgur.com/EkqYYOB.png")</f>
        <v/>
      </c>
      <c r="I23" s="20" t="str">
        <f>image("https://pokejungle.net/sprites/normal/"&amp;H22&amp;".png")</f>
        <v/>
      </c>
      <c r="J23" s="16" t="str">
        <f>image("https://i.imgur.com/EkqYYOB.png")</f>
        <v/>
      </c>
      <c r="K23" s="20" t="str">
        <f>image("https://pokejungle.net/sprites/normal/"&amp;J22&amp;".png")</f>
        <v/>
      </c>
      <c r="L23" s="28" t="str">
        <f>image("https://i.imgur.com/EkqYYOB.png")</f>
        <v/>
      </c>
      <c r="M23" s="20" t="str">
        <f>image("https://pokejungle.net/sprites/normal/"&amp;L22&amp;"-f.png")</f>
        <v/>
      </c>
      <c r="N23" s="16" t="str">
        <f>image("https://i.imgur.com/beHgI95.png")</f>
        <v/>
      </c>
      <c r="O23" s="20" t="str">
        <f>image("https://pokejungle.net/sprites/normal/"&amp;N22&amp;".png")</f>
        <v/>
      </c>
      <c r="P23" s="16" t="str">
        <f>image("https://i.imgur.com/beHgI95.png")</f>
        <v/>
      </c>
      <c r="Q23" s="20" t="str">
        <f>image("https://pokejungle.net/sprites/normal/"&amp;P22&amp;".png")</f>
        <v/>
      </c>
      <c r="R23" s="33"/>
    </row>
    <row r="24" ht="26.25" customHeight="1">
      <c r="A24" s="15"/>
      <c r="B24" s="38" t="str">
        <f>image("https://i.imgur.com/rAI9Gyi.png")</f>
        <v/>
      </c>
      <c r="C24" s="36"/>
      <c r="D24" s="35" t="str">
        <f>image("https://i.imgur.com/rAI9Gyi.png")</f>
        <v/>
      </c>
      <c r="E24" s="36"/>
      <c r="F24" s="35" t="str">
        <f>image("https://i.imgur.com/NkILW1J.png")</f>
        <v/>
      </c>
      <c r="G24" s="36"/>
      <c r="H24" s="37" t="str">
        <f>image("https://i.imgur.com/NkILW1J.png")</f>
        <v/>
      </c>
      <c r="I24" s="36"/>
      <c r="J24" s="38" t="str">
        <f>image("https://i.imgur.com/NkILW1J.png")</f>
        <v/>
      </c>
      <c r="K24" s="36"/>
      <c r="L24" s="35" t="str">
        <f>image("https://i.imgur.com/NkILW1J.png")</f>
        <v/>
      </c>
      <c r="M24" s="36"/>
      <c r="N24" s="38" t="str">
        <f>image("https://i.imgur.com/zpybKax.png")</f>
        <v/>
      </c>
      <c r="O24" s="36"/>
      <c r="P24" s="38" t="str">
        <f>image("https://i.imgur.com/zpybKax.png")</f>
        <v/>
      </c>
      <c r="Q24" s="36"/>
      <c r="R24" s="33"/>
    </row>
    <row r="25" ht="26.25" customHeight="1">
      <c r="A25" s="15"/>
      <c r="B25" s="40"/>
      <c r="C25" s="41"/>
      <c r="D25" s="40"/>
      <c r="E25" s="41"/>
      <c r="F25" s="40"/>
      <c r="G25" s="41"/>
      <c r="H25" s="40"/>
      <c r="I25" s="41"/>
      <c r="J25" s="40" t="str">
        <f>image("https://i.imgur.com/N2Wqr43.png")</f>
        <v/>
      </c>
      <c r="K25" s="41"/>
      <c r="L25" s="43"/>
      <c r="M25" s="41"/>
      <c r="N25" s="40"/>
      <c r="O25" s="41"/>
      <c r="P25" s="40"/>
      <c r="Q25" s="41"/>
      <c r="R25" s="33"/>
    </row>
    <row r="26" ht="26.25" customHeight="1">
      <c r="A26" s="15"/>
      <c r="B26" s="16" t="str">
        <f>image("https://i.imgur.com/rAI9Gyi.png")</f>
        <v/>
      </c>
      <c r="C26" s="20" t="str">
        <f>image("https://pokejungle.net/sprites/shiny/"&amp;B22&amp;".png")</f>
        <v/>
      </c>
      <c r="D26" s="16" t="str">
        <f>image("https://i.imgur.com/XI18XGu.png")</f>
        <v/>
      </c>
      <c r="E26" s="20" t="str">
        <f>image("https://pokejungle.net/sprites/shiny/"&amp;D22&amp;".png")</f>
        <v/>
      </c>
      <c r="F26" s="16" t="str">
        <f>image("https://i.imgur.com/EkqYYOB.png")</f>
        <v/>
      </c>
      <c r="G26" s="20" t="str">
        <f>image("https://pokejungle.net/sprites/shiny/"&amp;F22&amp;".png")</f>
        <v/>
      </c>
      <c r="H26" s="16" t="str">
        <f>image("https://i.imgur.com/XIu6jDl.png")</f>
        <v/>
      </c>
      <c r="I26" s="20" t="str">
        <f>image("https://pokejungle.net/sprites/shiny/"&amp;H22&amp;".png")</f>
        <v/>
      </c>
      <c r="J26" s="16" t="str">
        <f>image("https://i.imgur.com/EkqYYOB.png")</f>
        <v/>
      </c>
      <c r="K26" s="20" t="str">
        <f>image("https://pokejungle.net/sprites/shiny/"&amp;J22&amp;".png")</f>
        <v/>
      </c>
      <c r="L26" s="16" t="str">
        <f>image("https://i.imgur.com/EkqYYOB.png")</f>
        <v/>
      </c>
      <c r="M26" s="20" t="str">
        <f>image("https://pokejungle.net/sprites/shiny/"&amp;L22&amp;"-f.png")</f>
        <v/>
      </c>
      <c r="N26" s="16" t="str">
        <f>image("https://i.imgur.com/zpybKax.png")</f>
        <v/>
      </c>
      <c r="O26" s="20" t="str">
        <f>image("https://pokejungle.net/sprites/shiny/"&amp;N22&amp;".png")</f>
        <v/>
      </c>
      <c r="P26" s="16" t="str">
        <f>image("https://i.imgur.com/beHgI95.png")</f>
        <v/>
      </c>
      <c r="Q26" s="20" t="str">
        <f>image("https://pokejungle.net/sprites/shiny/"&amp;P22&amp;".png")</f>
        <v/>
      </c>
      <c r="R26" s="33"/>
    </row>
    <row r="27" ht="26.25" customHeight="1">
      <c r="A27" s="15"/>
      <c r="B27" s="38" t="str">
        <f>image("https://i.imgur.com/EkqYYOB.png")</f>
        <v/>
      </c>
      <c r="C27" s="36"/>
      <c r="D27" s="46" t="str">
        <f>image("https://i.imgur.com/rAI9Gyi.png")</f>
        <v/>
      </c>
      <c r="E27" s="36"/>
      <c r="F27" s="35" t="str">
        <f>image("https://i.imgur.com/NkILW1J.png")</f>
        <v/>
      </c>
      <c r="G27" s="36"/>
      <c r="H27" s="46" t="str">
        <f>image("https://i.imgur.com/VQL4lPa.png")</f>
        <v/>
      </c>
      <c r="I27" s="36"/>
      <c r="J27" s="38" t="str">
        <f>image("https://i.imgur.com/N2Wqr43.png")</f>
        <v/>
      </c>
      <c r="K27" s="36"/>
      <c r="L27" s="46"/>
      <c r="M27" s="36"/>
      <c r="N27" s="38" t="str">
        <f>image("https://i.imgur.com/beHgI95.png")</f>
        <v/>
      </c>
      <c r="O27" s="36"/>
      <c r="P27" s="38" t="str">
        <f>image("https://i.imgur.com/zpybKax.png")</f>
        <v/>
      </c>
      <c r="Q27" s="36"/>
      <c r="R27" s="33"/>
    </row>
    <row r="28" ht="26.25" customHeight="1">
      <c r="A28" s="15"/>
      <c r="B28" s="40"/>
      <c r="C28" s="41"/>
      <c r="D28" s="43"/>
      <c r="E28" s="41"/>
      <c r="F28" s="40"/>
      <c r="G28" s="41"/>
      <c r="H28" s="43"/>
      <c r="I28" s="41"/>
      <c r="J28" s="40"/>
      <c r="K28" s="41"/>
      <c r="L28" s="43"/>
      <c r="M28" s="41"/>
      <c r="N28" s="40"/>
      <c r="O28" s="41"/>
      <c r="P28" s="40" t="str">
        <f>image("https://i.imgur.com/0ArMZjJ.png")</f>
        <v/>
      </c>
      <c r="Q28" s="41"/>
      <c r="R28" s="33"/>
    </row>
    <row r="29" ht="18.75" customHeight="1">
      <c r="A29" s="6"/>
      <c r="B29" s="8" t="s">
        <v>1234</v>
      </c>
      <c r="C29" s="10" t="s">
        <v>1235</v>
      </c>
      <c r="D29" s="8" t="s">
        <v>1236</v>
      </c>
      <c r="E29" s="10" t="s">
        <v>1237</v>
      </c>
      <c r="F29" s="8" t="s">
        <v>1238</v>
      </c>
      <c r="G29" s="10" t="s">
        <v>1239</v>
      </c>
      <c r="H29" s="8" t="s">
        <v>1240</v>
      </c>
      <c r="I29" s="10" t="s">
        <v>1241</v>
      </c>
      <c r="J29" s="8" t="s">
        <v>1243</v>
      </c>
      <c r="K29" s="10" t="s">
        <v>1245</v>
      </c>
      <c r="L29" s="8" t="s">
        <v>1247</v>
      </c>
      <c r="M29" s="10" t="s">
        <v>1249</v>
      </c>
      <c r="N29" s="8" t="s">
        <v>1250</v>
      </c>
      <c r="O29" s="10" t="s">
        <v>1251</v>
      </c>
      <c r="P29" s="8" t="s">
        <v>1252</v>
      </c>
      <c r="Q29" s="10" t="s">
        <v>1253</v>
      </c>
      <c r="R29" s="14"/>
    </row>
    <row r="30" ht="26.25" customHeight="1">
      <c r="A30" s="15"/>
      <c r="B30" s="16" t="str">
        <f>image("https://i.imgur.com/zpybKax.png")</f>
        <v/>
      </c>
      <c r="C30" s="20" t="str">
        <f>image("https://pokejungle.net/sprites/normal/"&amp;B29&amp;".png")</f>
        <v/>
      </c>
      <c r="D30" s="16" t="str">
        <f>image("https://i.imgur.com/SF5CZ6U.png")</f>
        <v/>
      </c>
      <c r="E30" s="20" t="str">
        <f>image("https://pokejungle.net/sprites/normal/"&amp;D29&amp;".png")</f>
        <v/>
      </c>
      <c r="F30" s="16" t="str">
        <f>image("https://i.imgur.com/SF5CZ6U.png")</f>
        <v/>
      </c>
      <c r="G30" s="20" t="str">
        <f>image("https://pokejungle.net/sprites/normal/"&amp;F29&amp;".png")</f>
        <v/>
      </c>
      <c r="H30" s="24" t="str">
        <f>image("https://i.imgur.com/rAI9Gyi.png")</f>
        <v/>
      </c>
      <c r="I30" s="20" t="str">
        <f>image("https://pokejungle.net/sprites/normal/"&amp;H29&amp;".png")</f>
        <v/>
      </c>
      <c r="J30" s="16" t="str">
        <f>image("https://i.imgur.com/rAI9Gyi.png")</f>
        <v/>
      </c>
      <c r="K30" s="20" t="str">
        <f>image("https://pokejungle.net/sprites/normal/"&amp;J29&amp;".png")</f>
        <v/>
      </c>
      <c r="L30" s="28" t="str">
        <f>image("https://i.imgur.com/NkILW1J.png")</f>
        <v/>
      </c>
      <c r="M30" s="20" t="str">
        <f>image("https://pokejungle.net/sprites/normal/"&amp;L29&amp;".png")</f>
        <v/>
      </c>
      <c r="N30" s="16" t="str">
        <f>image("https://i.imgur.com/JOd7Boe.png")</f>
        <v/>
      </c>
      <c r="O30" s="20" t="str">
        <f>image("https://pokejungle.net/sprites/normal/"&amp;N29&amp;".png")</f>
        <v/>
      </c>
      <c r="P30" s="16" t="str">
        <f>image("https://i.imgur.com/rAI9Gyi.png")</f>
        <v/>
      </c>
      <c r="Q30" s="20" t="str">
        <f>image("https://pokejungle.net/sprites/normal/"&amp;P29&amp;".png")</f>
        <v/>
      </c>
      <c r="R30" s="33"/>
    </row>
    <row r="31" ht="26.25" customHeight="1">
      <c r="A31" s="15"/>
      <c r="B31" s="38" t="str">
        <f>image("https://i.imgur.com/JDgAgAO.png")</f>
        <v/>
      </c>
      <c r="C31" s="36"/>
      <c r="D31" s="35"/>
      <c r="E31" s="36"/>
      <c r="F31" s="35"/>
      <c r="G31" s="36"/>
      <c r="H31" s="37" t="str">
        <f>image("https://i.imgur.com/XzidFHI.png")</f>
        <v/>
      </c>
      <c r="I31" s="36"/>
      <c r="J31" s="38" t="str">
        <f>image("https://i.imgur.com/XzidFHI.png")</f>
        <v/>
      </c>
      <c r="K31" s="36"/>
      <c r="L31" s="35" t="str">
        <f>image("https://i.imgur.com/SF5CZ6U.png")</f>
        <v/>
      </c>
      <c r="M31" s="36"/>
      <c r="N31" s="38" t="str">
        <f>image("https://i.imgur.com/EkqYYOB.png")</f>
        <v/>
      </c>
      <c r="O31" s="36"/>
      <c r="P31" s="38" t="str">
        <f>image("https://i.imgur.com/a9HBljD.png")</f>
        <v/>
      </c>
      <c r="Q31" s="36"/>
      <c r="R31" s="33"/>
    </row>
    <row r="32" ht="26.25" customHeight="1">
      <c r="A32" s="15"/>
      <c r="B32" s="40"/>
      <c r="C32" s="41"/>
      <c r="D32" s="40"/>
      <c r="E32" s="41"/>
      <c r="F32" s="40"/>
      <c r="G32" s="41"/>
      <c r="H32" s="40" t="str">
        <f>image("https://i.imgur.com/a9HBljD.png")</f>
        <v/>
      </c>
      <c r="I32" s="41"/>
      <c r="J32" s="40" t="str">
        <f>image("https://i.imgur.com/a9HBljD.png")</f>
        <v/>
      </c>
      <c r="K32" s="41"/>
      <c r="L32" s="43" t="str">
        <f>image("https://i.imgur.com/XzidFHI.png")</f>
        <v/>
      </c>
      <c r="M32" s="41"/>
      <c r="N32" s="40"/>
      <c r="O32" s="41"/>
      <c r="P32" s="40"/>
      <c r="Q32" s="41"/>
      <c r="R32" s="33"/>
    </row>
    <row r="33" ht="26.25" customHeight="1">
      <c r="A33" s="15"/>
      <c r="B33" s="16" t="str">
        <f>image("https://i.imgur.com/SF5CZ6U.png")</f>
        <v/>
      </c>
      <c r="C33" s="20" t="str">
        <f>image("https://pokejungle.net/sprites/shiny/"&amp;B29&amp;".png")</f>
        <v/>
      </c>
      <c r="D33" s="16" t="str">
        <f>image("https://i.imgur.com/SF5CZ6U.png")</f>
        <v/>
      </c>
      <c r="E33" s="20" t="str">
        <f>image("https://pokejungle.net/sprites/shiny/"&amp;D29&amp;".png")</f>
        <v/>
      </c>
      <c r="F33" s="16" t="str">
        <f>image("https://i.imgur.com/SF5CZ6U.png")</f>
        <v/>
      </c>
      <c r="G33" s="20" t="str">
        <f>image("https://pokejungle.net/sprites/shiny/"&amp;F29&amp;".png")</f>
        <v/>
      </c>
      <c r="H33" s="16" t="str">
        <f>image("https://i.imgur.com/VQL4lPa.png")</f>
        <v/>
      </c>
      <c r="I33" s="20" t="str">
        <f>image("https://pokejungle.net/sprites/shiny/"&amp;H29&amp;".png")</f>
        <v/>
      </c>
      <c r="J33" s="16" t="str">
        <f>image("https://i.imgur.com/EkqYYOB.png")</f>
        <v/>
      </c>
      <c r="K33" s="20" t="str">
        <f>image("https://pokejungle.net/sprites/shiny/"&amp;J29&amp;".png")</f>
        <v/>
      </c>
      <c r="L33" s="16" t="str">
        <f>image("https://i.imgur.com/rAI9Gyi.png")</f>
        <v/>
      </c>
      <c r="M33" s="20" t="str">
        <f>image("https://pokejungle.net/sprites/shiny/"&amp;L29&amp;".png")</f>
        <v/>
      </c>
      <c r="N33" s="16" t="str">
        <f>image("https://i.imgur.com/SF5CZ6U.png")</f>
        <v/>
      </c>
      <c r="O33" s="20" t="str">
        <f>image("https://pokejungle.net/sprites/shiny/"&amp;N29&amp;".png")</f>
        <v/>
      </c>
      <c r="P33" s="16" t="str">
        <f>image("https://i.imgur.com/XI18XGu.png")</f>
        <v/>
      </c>
      <c r="Q33" s="20" t="str">
        <f>image("https://pokejungle.net/sprites/shiny/"&amp;P29&amp;".png")</f>
        <v/>
      </c>
      <c r="R33" s="33"/>
    </row>
    <row r="34" ht="26.25" customHeight="1">
      <c r="A34" s="15"/>
      <c r="B34" s="38" t="str">
        <f>image("https://i.imgur.com/N2Wqr43.png")</f>
        <v/>
      </c>
      <c r="C34" s="36"/>
      <c r="D34" s="46" t="str">
        <f>image("https://i.imgur.com/N2Wqr43.png")</f>
        <v/>
      </c>
      <c r="E34" s="36"/>
      <c r="F34" s="35" t="str">
        <f>image("https://i.imgur.com/N2Wqr43.png")</f>
        <v/>
      </c>
      <c r="G34" s="36"/>
      <c r="H34" s="46" t="str">
        <f>image("https://i.imgur.com/N2Wqr43.png")</f>
        <v/>
      </c>
      <c r="I34" s="36"/>
      <c r="J34" s="38" t="str">
        <f>image("https://i.imgur.com/rAI9Gyi.png")</f>
        <v/>
      </c>
      <c r="K34" s="36"/>
      <c r="L34" s="38" t="str">
        <f>image("https://i.imgur.com/a9HBljD.png")</f>
        <v/>
      </c>
      <c r="M34" s="36"/>
      <c r="N34" s="38" t="str">
        <f>image("https://i.imgur.com/rAI9Gyi.png")</f>
        <v/>
      </c>
      <c r="O34" s="36"/>
      <c r="P34" s="38" t="str">
        <f>image("https://i.imgur.com/a9HBljD.png")</f>
        <v/>
      </c>
      <c r="Q34" s="36"/>
      <c r="R34" s="33"/>
    </row>
    <row r="35" ht="26.25" customHeight="1">
      <c r="A35" s="15"/>
      <c r="B35" s="40" t="str">
        <f>image("https://i.imgur.com/XI18XGu.png")</f>
        <v/>
      </c>
      <c r="C35" s="41"/>
      <c r="D35" s="43" t="str">
        <f>image("https://i.imgur.com/JDgAgAO.png")</f>
        <v/>
      </c>
      <c r="E35" s="41"/>
      <c r="F35" s="40" t="str">
        <f>image("https://i.imgur.com/JDgAgAO.png")</f>
        <v/>
      </c>
      <c r="G35" s="41"/>
      <c r="H35" s="43" t="str">
        <f>image("https://i.imgur.com/a9HBljD.png")</f>
        <v/>
      </c>
      <c r="I35" s="41"/>
      <c r="J35" s="40" t="str">
        <f>image("https://i.imgur.com/a9HBljD.png")</f>
        <v/>
      </c>
      <c r="K35" s="41"/>
      <c r="L35" s="43" t="str">
        <f>image("https://i.imgur.com/SF5CZ6U.png")</f>
        <v/>
      </c>
      <c r="M35" s="41"/>
      <c r="N35" s="40"/>
      <c r="O35" s="41"/>
      <c r="P35" s="43" t="str">
        <f>image("https://i.imgur.com/rAI9Gyi.png")</f>
        <v/>
      </c>
      <c r="Q35" s="41"/>
      <c r="R35" s="33"/>
    </row>
    <row r="36" ht="18.75" customHeight="1">
      <c r="A36" s="6"/>
      <c r="B36" s="8" t="s">
        <v>1286</v>
      </c>
      <c r="C36" s="10" t="s">
        <v>1294</v>
      </c>
      <c r="D36" s="8" t="s">
        <v>1296</v>
      </c>
      <c r="E36" s="10" t="s">
        <v>1298</v>
      </c>
      <c r="F36" s="8" t="s">
        <v>1299</v>
      </c>
      <c r="G36" s="10" t="s">
        <v>1301</v>
      </c>
      <c r="H36" s="8" t="s">
        <v>1303</v>
      </c>
      <c r="I36" s="10" t="s">
        <v>1305</v>
      </c>
      <c r="J36" s="8" t="s">
        <v>1307</v>
      </c>
      <c r="K36" s="10" t="s">
        <v>1309</v>
      </c>
      <c r="L36" s="8" t="s">
        <v>1311</v>
      </c>
      <c r="M36" s="10" t="s">
        <v>1313</v>
      </c>
      <c r="N36" s="8" t="s">
        <v>1314</v>
      </c>
      <c r="O36" s="10" t="s">
        <v>1315</v>
      </c>
      <c r="P36" s="8" t="s">
        <v>1316</v>
      </c>
      <c r="Q36" s="10" t="s">
        <v>1317</v>
      </c>
      <c r="R36" s="14"/>
    </row>
    <row r="37" ht="26.25" customHeight="1">
      <c r="A37" s="15"/>
      <c r="B37" s="16" t="str">
        <f>image("https://i.imgur.com/rAI9Gyi.png")</f>
        <v/>
      </c>
      <c r="C37" s="20" t="str">
        <f>image("https://pokejungle.net/sprites/normal/"&amp;B36&amp;".png")</f>
        <v/>
      </c>
      <c r="D37" s="16" t="str">
        <f>image("https://i.imgur.com/rAI9Gyi.png")</f>
        <v/>
      </c>
      <c r="E37" s="20" t="str">
        <f>image("https://pokejungle.net/sprites/normal/"&amp;D36&amp;".png")</f>
        <v/>
      </c>
      <c r="F37" s="16" t="str">
        <f>image("https://i.imgur.com/rAI9Gyi.png")</f>
        <v/>
      </c>
      <c r="G37" s="20" t="str">
        <f>image("https://pokejungle.net/sprites/normal/"&amp;F36&amp;".png")</f>
        <v/>
      </c>
      <c r="H37" s="24" t="str">
        <f>image("https://i.imgur.com/XzidFHI.png")</f>
        <v/>
      </c>
      <c r="I37" s="20" t="str">
        <f>image("https://pokejungle.net/sprites/normal/"&amp;H36&amp;".png")</f>
        <v/>
      </c>
      <c r="J37" s="16" t="str">
        <f>image("https://i.imgur.com/XzidFHI.png")</f>
        <v/>
      </c>
      <c r="K37" s="20" t="str">
        <f>image("https://pokejungle.net/sprites/normal/"&amp;J36&amp;".png")</f>
        <v/>
      </c>
      <c r="L37" s="28" t="str">
        <f>image("https://i.imgur.com/XzidFHI.png")</f>
        <v/>
      </c>
      <c r="M37" s="20" t="str">
        <f>image("https://pokejungle.net/sprites/normal/"&amp;L36&amp;".png")</f>
        <v/>
      </c>
      <c r="N37" s="16" t="str">
        <f>image("https://i.imgur.com/JOd7Boe.png")</f>
        <v/>
      </c>
      <c r="O37" s="20" t="str">
        <f>image("https://pokejungle.net/sprites/normal/"&amp;N36&amp;".png")</f>
        <v/>
      </c>
      <c r="P37" s="16" t="str">
        <f>image("https://i.imgur.com/XzidFHI.png")</f>
        <v/>
      </c>
      <c r="Q37" s="20" t="str">
        <f>image("https://pokejungle.net/sprites/normal/"&amp;P36&amp;".png")</f>
        <v/>
      </c>
      <c r="R37" s="33"/>
    </row>
    <row r="38" ht="26.25" customHeight="1">
      <c r="A38" s="15"/>
      <c r="B38" s="38" t="str">
        <f>image("https://i.imgur.com/a9HBljD.png")</f>
        <v/>
      </c>
      <c r="C38" s="36"/>
      <c r="D38" s="35" t="str">
        <f>image("https://i.imgur.com/a9HBljD.png")</f>
        <v/>
      </c>
      <c r="E38" s="36"/>
      <c r="F38" s="35" t="str">
        <f>image("https://i.imgur.com/a9HBljD.png")</f>
        <v/>
      </c>
      <c r="G38" s="36"/>
      <c r="H38" s="37" t="str">
        <f>image("https://i.imgur.com/XNzvO0H.png")</f>
        <v/>
      </c>
      <c r="I38" s="36"/>
      <c r="J38" s="38" t="str">
        <f>image("https://i.imgur.com/XNzvO0H.png")</f>
        <v/>
      </c>
      <c r="K38" s="36"/>
      <c r="L38" s="35" t="str">
        <f>image("https://i.imgur.com/XNzvO0H.png")</f>
        <v/>
      </c>
      <c r="M38" s="36"/>
      <c r="N38" s="38"/>
      <c r="O38" s="36"/>
      <c r="P38" s="38"/>
      <c r="Q38" s="36"/>
      <c r="R38" s="33"/>
    </row>
    <row r="39" ht="26.25" customHeight="1">
      <c r="A39" s="15"/>
      <c r="B39" s="40"/>
      <c r="C39" s="41"/>
      <c r="D39" s="40"/>
      <c r="E39" s="41"/>
      <c r="F39" s="40"/>
      <c r="G39" s="41"/>
      <c r="H39" s="40" t="str">
        <f>image("https://i.imgur.com/NkILW1J.png")</f>
        <v/>
      </c>
      <c r="I39" s="41"/>
      <c r="J39" s="40" t="str">
        <f>image("https://i.imgur.com/NkILW1J.png")</f>
        <v/>
      </c>
      <c r="K39" s="41"/>
      <c r="L39" s="43" t="str">
        <f>image("https://i.imgur.com/NkILW1J.png")</f>
        <v/>
      </c>
      <c r="M39" s="41"/>
      <c r="N39" s="40"/>
      <c r="O39" s="41"/>
      <c r="P39" s="40"/>
      <c r="Q39" s="41"/>
      <c r="R39" s="33"/>
    </row>
    <row r="40" ht="26.25" customHeight="1">
      <c r="A40" s="15"/>
      <c r="B40" s="16" t="str">
        <f>image("https://i.imgur.com/RqSOGo6.png")</f>
        <v/>
      </c>
      <c r="C40" s="20" t="str">
        <f>image("https://pokejungle.net/sprites/shiny/"&amp;B36&amp;".png")</f>
        <v/>
      </c>
      <c r="D40" s="16" t="str">
        <f>image("https://i.imgur.com/RqSOGo6.png")</f>
        <v/>
      </c>
      <c r="E40" s="20" t="str">
        <f>image("https://pokejungle.net/sprites/shiny/"&amp;D36&amp;".png")</f>
        <v/>
      </c>
      <c r="F40" s="16" t="str">
        <f>image("https://i.imgur.com/RqSOGo6.png")</f>
        <v/>
      </c>
      <c r="G40" s="20" t="str">
        <f>image("https://pokejungle.net/sprites/shiny/"&amp;F36&amp;".png")</f>
        <v/>
      </c>
      <c r="H40" s="16" t="str">
        <f>image("https://i.imgur.com/beHgI95.png")</f>
        <v/>
      </c>
      <c r="I40" s="20" t="str">
        <f>image("https://pokejungle.net/sprites/shiny/"&amp;H36&amp;".png")</f>
        <v/>
      </c>
      <c r="J40" s="16" t="str">
        <f>image("https://i.imgur.com/beHgI95.png")</f>
        <v/>
      </c>
      <c r="K40" s="20" t="str">
        <f>image("https://pokejungle.net/sprites/shiny/"&amp;J36&amp;".png")</f>
        <v/>
      </c>
      <c r="L40" s="16" t="str">
        <f>image("https://i.imgur.com/N2Wqr43.png")</f>
        <v/>
      </c>
      <c r="M40" s="20" t="str">
        <f>image("https://pokejungle.net/sprites/shiny/"&amp;L36&amp;".png")</f>
        <v/>
      </c>
      <c r="N40" s="16" t="str">
        <f>image("https://i.imgur.com/JOd7Boe.png")</f>
        <v/>
      </c>
      <c r="O40" s="20" t="str">
        <f>image("https://pokejungle.net/sprites/shiny/"&amp;N36&amp;".png")</f>
        <v/>
      </c>
      <c r="P40" s="16" t="str">
        <f>image("https://i.imgur.com/XzidFHI.png")</f>
        <v/>
      </c>
      <c r="Q40" s="20" t="str">
        <f>image("https://pokejungle.net/sprites/shiny/"&amp;P36&amp;".png")</f>
        <v/>
      </c>
      <c r="R40" s="33"/>
    </row>
    <row r="41" ht="26.25" customHeight="1">
      <c r="A41" s="15"/>
      <c r="B41" s="38" t="str">
        <f>image("https://i.imgur.com/EkqYYOB.png")</f>
        <v/>
      </c>
      <c r="C41" s="36"/>
      <c r="D41" s="46" t="str">
        <f>image("https://i.imgur.com/EkqYYOB.png")</f>
        <v/>
      </c>
      <c r="E41" s="36"/>
      <c r="F41" s="35" t="str">
        <f>image("https://i.imgur.com/EkqYYOB.png")</f>
        <v/>
      </c>
      <c r="G41" s="36"/>
      <c r="H41" s="46" t="str">
        <f>image("https://i.imgur.com/EkqYYOB.png")</f>
        <v/>
      </c>
      <c r="I41" s="36"/>
      <c r="J41" s="38" t="str">
        <f>image("https://i.imgur.com/EkqYYOB.png")</f>
        <v/>
      </c>
      <c r="K41" s="36"/>
      <c r="L41" s="46" t="str">
        <f>image("https://i.imgur.com/XzidFHI.png")</f>
        <v/>
      </c>
      <c r="M41" s="36"/>
      <c r="N41" s="38"/>
      <c r="O41" s="36"/>
      <c r="P41" s="38"/>
      <c r="Q41" s="36"/>
      <c r="R41" s="33"/>
    </row>
    <row r="42" ht="26.25" customHeight="1">
      <c r="A42" s="15"/>
      <c r="B42" s="40"/>
      <c r="C42" s="41"/>
      <c r="D42" s="43"/>
      <c r="E42" s="41"/>
      <c r="F42" s="40"/>
      <c r="G42" s="41"/>
      <c r="H42" s="43" t="str">
        <f>image("https://i.imgur.com/rJhTvoD.png")</f>
        <v/>
      </c>
      <c r="I42" s="41"/>
      <c r="J42" s="40" t="str">
        <f>image("https://i.imgur.com/zpybKax.png")</f>
        <v/>
      </c>
      <c r="K42" s="41"/>
      <c r="L42" s="43" t="str">
        <f>image("https://i.imgur.com/zpybKax.png")</f>
        <v/>
      </c>
      <c r="M42" s="41"/>
      <c r="N42" s="40"/>
      <c r="O42" s="41"/>
      <c r="P42" s="40"/>
      <c r="Q42" s="41"/>
      <c r="R42" s="33"/>
    </row>
    <row r="43" ht="18.75" customHeight="1">
      <c r="A43" s="6"/>
      <c r="B43" s="8" t="s">
        <v>1389</v>
      </c>
      <c r="C43" s="10" t="s">
        <v>1392</v>
      </c>
      <c r="D43" s="8" t="s">
        <v>1394</v>
      </c>
      <c r="E43" s="10" t="s">
        <v>1396</v>
      </c>
      <c r="F43" s="8" t="s">
        <v>1398</v>
      </c>
      <c r="G43" s="10" t="s">
        <v>1399</v>
      </c>
      <c r="H43" s="8" t="s">
        <v>1400</v>
      </c>
      <c r="I43" s="10" t="s">
        <v>1401</v>
      </c>
      <c r="J43" s="8" t="s">
        <v>1402</v>
      </c>
      <c r="K43" s="10" t="s">
        <v>1403</v>
      </c>
      <c r="L43" s="8" t="s">
        <v>1404</v>
      </c>
      <c r="M43" s="10" t="s">
        <v>1405</v>
      </c>
      <c r="N43" s="8" t="s">
        <v>1406</v>
      </c>
      <c r="O43" s="10" t="s">
        <v>1407</v>
      </c>
      <c r="P43" s="8" t="s">
        <v>1408</v>
      </c>
      <c r="Q43" s="10" t="s">
        <v>1409</v>
      </c>
      <c r="R43" s="14"/>
    </row>
    <row r="44" ht="26.25" customHeight="1">
      <c r="A44" s="15"/>
      <c r="B44" s="16" t="str">
        <f>image("https://i.imgur.com/XIu6jDl.png")</f>
        <v/>
      </c>
      <c r="C44" s="20" t="str">
        <f>image("https://pokejungle.net/sprites/normal/"&amp;B43&amp;".png")</f>
        <v/>
      </c>
      <c r="D44" s="16" t="str">
        <f>image("https://i.imgur.com/XIu6jDl.png")</f>
        <v/>
      </c>
      <c r="E44" s="20" t="str">
        <f>image("https://pokejungle.net/sprites/normal/"&amp;D43&amp;".png")</f>
        <v/>
      </c>
      <c r="F44" s="16" t="str">
        <f>image("https://i.imgur.com/XIu6jDl.png")</f>
        <v/>
      </c>
      <c r="G44" s="20" t="str">
        <f>image("https://pokejungle.net/sprites/normal/"&amp;F43&amp;".png")</f>
        <v/>
      </c>
      <c r="H44" s="24" t="str">
        <f>image("https://i.imgur.com/N2Wqr43.png")</f>
        <v/>
      </c>
      <c r="I44" s="20" t="str">
        <f>image("https://pokejungle.net/sprites/normal/"&amp;H43&amp;".png")</f>
        <v/>
      </c>
      <c r="J44" s="16" t="str">
        <f>image("https://i.imgur.com/N2Wqr43.png")</f>
        <v/>
      </c>
      <c r="K44" s="20" t="str">
        <f>image("https://pokejungle.net/sprites/normal/"&amp;J43&amp;".png")</f>
        <v/>
      </c>
      <c r="L44" s="28" t="str">
        <f>image("https://i.imgur.com/N2Wqr43.png")</f>
        <v/>
      </c>
      <c r="M44" s="20" t="str">
        <f>image("https://pokejungle.net/sprites/normal/"&amp;L43&amp;".png")</f>
        <v/>
      </c>
      <c r="N44" s="16" t="str">
        <f>image("https://i.imgur.com/XIu6jDl.png")</f>
        <v/>
      </c>
      <c r="O44" s="20" t="str">
        <f>image("https://pokejungle.net/sprites/normal/"&amp;N43&amp;".png")</f>
        <v/>
      </c>
      <c r="P44" s="16" t="str">
        <f>image("https://i.imgur.com/XIu6jDl.png")</f>
        <v/>
      </c>
      <c r="Q44" s="20" t="str">
        <f>image("https://pokejungle.net/sprites/normal/"&amp;P43&amp;".png")</f>
        <v/>
      </c>
      <c r="R44" s="33"/>
    </row>
    <row r="45" ht="26.25" customHeight="1">
      <c r="A45" s="15"/>
      <c r="B45" s="38" t="str">
        <f>image("https://i.imgur.com/VQL4lPa.png")</f>
        <v/>
      </c>
      <c r="C45" s="36"/>
      <c r="D45" s="35" t="str">
        <f>image("https://i.imgur.com/VQL4lPa.png")</f>
        <v/>
      </c>
      <c r="E45" s="36"/>
      <c r="F45" s="35" t="str">
        <f>image("https://i.imgur.com/VQL4lPa.png")</f>
        <v/>
      </c>
      <c r="G45" s="36"/>
      <c r="H45" s="37" t="str">
        <f>image("https://i.imgur.com/GyNf8BH.png")</f>
        <v/>
      </c>
      <c r="I45" s="36"/>
      <c r="J45" s="38" t="str">
        <f>image("https://i.imgur.com/EkqYYOB.png")</f>
        <v/>
      </c>
      <c r="K45" s="36"/>
      <c r="L45" s="37" t="str">
        <f>image("https://i.imgur.com/GyNf8BH.png")</f>
        <v/>
      </c>
      <c r="M45" s="36"/>
      <c r="N45" s="35" t="str">
        <f>image("https://i.imgur.com/lpOVjtL.png")</f>
        <v/>
      </c>
      <c r="O45" s="36"/>
      <c r="P45" s="35" t="str">
        <f>image("https://i.imgur.com/lpOVjtL.png")</f>
        <v/>
      </c>
      <c r="Q45" s="36"/>
      <c r="R45" s="33"/>
    </row>
    <row r="46" ht="26.25" customHeight="1">
      <c r="A46" s="15"/>
      <c r="B46" s="40" t="str">
        <f>image("https://i.imgur.com/lpOVjtL.png")</f>
        <v/>
      </c>
      <c r="C46" s="41"/>
      <c r="D46" s="40" t="str">
        <f>image("https://i.imgur.com/lpOVjtL.png")</f>
        <v/>
      </c>
      <c r="E46" s="41"/>
      <c r="F46" s="40" t="str">
        <f>image("https://i.imgur.com/lpOVjtL.png")</f>
        <v/>
      </c>
      <c r="G46" s="41"/>
      <c r="H46" s="40" t="str">
        <f>image("https://i.imgur.com/bxys1sd.png")</f>
        <v/>
      </c>
      <c r="I46" s="41"/>
      <c r="J46" s="40"/>
      <c r="K46" s="41"/>
      <c r="L46" s="40" t="str">
        <f>image("https://i.imgur.com/bxys1sd.png")</f>
        <v/>
      </c>
      <c r="M46" s="41"/>
      <c r="N46" s="40"/>
      <c r="O46" s="41"/>
      <c r="P46" s="40"/>
      <c r="Q46" s="41"/>
      <c r="R46" s="33"/>
    </row>
    <row r="47" ht="26.25" customHeight="1">
      <c r="A47" s="15"/>
      <c r="B47" s="16" t="str">
        <f>image("https://i.imgur.com/VQL4lPa.png")</f>
        <v/>
      </c>
      <c r="C47" s="20" t="str">
        <f>image("https://pokejungle.net/sprites/shiny/"&amp;B43&amp;".png")</f>
        <v/>
      </c>
      <c r="D47" s="16" t="str">
        <f>image("https://i.imgur.com/XIu6jDl.png")</f>
        <v/>
      </c>
      <c r="E47" s="20" t="str">
        <f>image("https://pokejungle.net/sprites/shiny/"&amp;D43&amp;".png")</f>
        <v/>
      </c>
      <c r="F47" s="16" t="str">
        <f>image("https://i.imgur.com/XIu6jDl.png")</f>
        <v/>
      </c>
      <c r="G47" s="20" t="str">
        <f>image("https://pokejungle.net/sprites/shiny/"&amp;F43&amp;".png")</f>
        <v/>
      </c>
      <c r="H47" s="16" t="str">
        <f>image("https://i.imgur.com/N2Wqr43.png")</f>
        <v/>
      </c>
      <c r="I47" s="20" t="str">
        <f>image("https://pokejungle.net/sprites/shiny/"&amp;H43&amp;".png")</f>
        <v/>
      </c>
      <c r="J47" s="16" t="str">
        <f>image("https://i.imgur.com/N2Wqr43.png")</f>
        <v/>
      </c>
      <c r="K47" s="20" t="str">
        <f>image("https://pokejungle.net/sprites/shiny/"&amp;J43&amp;".png")</f>
        <v/>
      </c>
      <c r="L47" s="16" t="str">
        <f>image("https://i.imgur.com/SF5CZ6U.png")</f>
        <v/>
      </c>
      <c r="M47" s="20" t="str">
        <f>image("https://pokejungle.net/sprites/shiny/"&amp;L43&amp;".png")</f>
        <v/>
      </c>
      <c r="N47" s="16" t="str">
        <f>image("https://i.imgur.com/0ArMZjJ.png")</f>
        <v/>
      </c>
      <c r="O47" s="20" t="str">
        <f>image("https://pokejungle.net/sprites/shiny/"&amp;N43&amp;".png")</f>
        <v/>
      </c>
      <c r="P47" s="16" t="str">
        <f>image("https://i.imgur.com/JDgAgAO.png")</f>
        <v/>
      </c>
      <c r="Q47" s="20" t="str">
        <f>image("https://pokejungle.net/sprites/shiny/"&amp;P43&amp;".png")</f>
        <v/>
      </c>
      <c r="R47" s="33"/>
    </row>
    <row r="48" ht="26.25" customHeight="1">
      <c r="A48" s="15"/>
      <c r="B48" s="38" t="str">
        <f>image("https://i.imgur.com/XIu6jDl.png")</f>
        <v/>
      </c>
      <c r="C48" s="36"/>
      <c r="D48" s="46" t="str">
        <f>image("https://i.imgur.com/VQL4lPa.png")</f>
        <v/>
      </c>
      <c r="E48" s="36"/>
      <c r="F48" s="35" t="str">
        <f>image("https://i.imgur.com/VQL4lPa.png")</f>
        <v/>
      </c>
      <c r="G48" s="36"/>
      <c r="H48" s="35" t="str">
        <f>image("https://i.imgur.com/lpOVjtL.png")</f>
        <v/>
      </c>
      <c r="I48" s="36"/>
      <c r="J48" s="38"/>
      <c r="K48" s="36"/>
      <c r="L48" s="46" t="str">
        <f>image("https://i.imgur.com/ef1o2lD.png")</f>
        <v/>
      </c>
      <c r="M48" s="36"/>
      <c r="N48" s="35" t="str">
        <f>image("https://i.imgur.com/lpOVjtL.png")</f>
        <v/>
      </c>
      <c r="O48" s="36"/>
      <c r="P48" s="35" t="str">
        <f>image("https://i.imgur.com/lpOVjtL.png")</f>
        <v/>
      </c>
      <c r="Q48" s="36"/>
      <c r="R48" s="33"/>
    </row>
    <row r="49" ht="26.25" customHeight="1">
      <c r="A49" s="15"/>
      <c r="B49" s="40" t="str">
        <f>image("https://i.imgur.com/lpOVjtL.png")</f>
        <v/>
      </c>
      <c r="C49" s="41"/>
      <c r="D49" s="40" t="str">
        <f>image("https://i.imgur.com/lpOVjtL.png")</f>
        <v/>
      </c>
      <c r="E49" s="41"/>
      <c r="F49" s="40" t="str">
        <f>image("https://i.imgur.com/lpOVjtL.png")</f>
        <v/>
      </c>
      <c r="G49" s="41"/>
      <c r="H49" s="43"/>
      <c r="I49" s="41"/>
      <c r="J49" s="40"/>
      <c r="K49" s="41"/>
      <c r="L49" s="43" t="str">
        <f>image("https://i.imgur.com/JOd7Boe.png")</f>
        <v/>
      </c>
      <c r="M49" s="41"/>
      <c r="N49" s="43" t="str">
        <f>image("https://i.imgur.com/RqSOGo6.png")</f>
        <v/>
      </c>
      <c r="O49" s="41"/>
      <c r="P49" s="40" t="str">
        <f>image("https://i.imgur.com/XNzvO0H.png")</f>
        <v/>
      </c>
      <c r="Q49" s="41"/>
      <c r="R49" s="33"/>
    </row>
    <row r="50" ht="18.75" customHeight="1">
      <c r="A50" s="6"/>
      <c r="B50" s="8" t="s">
        <v>1485</v>
      </c>
      <c r="C50" s="10" t="s">
        <v>1486</v>
      </c>
      <c r="D50" s="8" t="s">
        <v>1487</v>
      </c>
      <c r="E50" s="10" t="s">
        <v>1488</v>
      </c>
      <c r="F50" s="8" t="s">
        <v>1487</v>
      </c>
      <c r="G50" s="10" t="s">
        <v>1489</v>
      </c>
      <c r="H50" s="8" t="s">
        <v>1490</v>
      </c>
      <c r="I50" s="10" t="s">
        <v>1491</v>
      </c>
      <c r="J50" s="8" t="s">
        <v>1490</v>
      </c>
      <c r="K50" s="10" t="s">
        <v>1492</v>
      </c>
      <c r="L50" s="8" t="s">
        <v>1490</v>
      </c>
      <c r="M50" s="10" t="s">
        <v>1493</v>
      </c>
      <c r="N50" s="8" t="s">
        <v>1494</v>
      </c>
      <c r="O50" s="10" t="s">
        <v>1495</v>
      </c>
      <c r="P50" s="8" t="s">
        <v>1496</v>
      </c>
      <c r="Q50" s="10" t="s">
        <v>1497</v>
      </c>
      <c r="R50" s="14"/>
    </row>
    <row r="51" ht="26.25" customHeight="1">
      <c r="A51" s="15"/>
      <c r="B51" s="16" t="str">
        <f>image("https://i.imgur.com/VQL4lPa.png")</f>
        <v/>
      </c>
      <c r="C51" s="20" t="str">
        <f>image("https://pokejungle.net/sprites/normal/"&amp;B50&amp;".png")</f>
        <v/>
      </c>
      <c r="D51" s="16" t="str">
        <f>image("https://i.imgur.com/VQL4lPa.png")</f>
        <v/>
      </c>
      <c r="E51" s="20" t="str">
        <f>image("https://pokejungle.net/sprites/normal/"&amp;D50&amp;".png")</f>
        <v/>
      </c>
      <c r="F51" s="16" t="str">
        <f>image("https://i.imgur.com/rAI9Gyi.png")</f>
        <v/>
      </c>
      <c r="G51" s="20" t="str">
        <f>image("https://pokejungle.net/sprites/normal/"&amp;F50&amp;"-1.png")</f>
        <v/>
      </c>
      <c r="H51" s="24" t="str">
        <f>image("https://i.imgur.com/N2Wqr43.png")</f>
        <v/>
      </c>
      <c r="I51" s="20" t="str">
        <f>image("https://pokejungle.net/sprites/normal/"&amp;H50&amp;".png")</f>
        <v/>
      </c>
      <c r="J51" s="16" t="str">
        <f>image("https://i.imgur.com/XzidFHI.png")</f>
        <v/>
      </c>
      <c r="K51" s="20" t="str">
        <f>image("https://pokejungle.net/sprites/normal/"&amp;J50&amp;"-1.png")</f>
        <v/>
      </c>
      <c r="L51" s="16" t="str">
        <f>image("https://i.imgur.com/JOd7Boe.png")</f>
        <v/>
      </c>
      <c r="M51" s="20" t="str">
        <f>image("https://pokejungle.net/sprites/normal/"&amp;L50&amp;"-2.png")</f>
        <v/>
      </c>
      <c r="N51" s="16" t="str">
        <f>image("https://i.imgur.com/beHgI95.png")</f>
        <v/>
      </c>
      <c r="O51" s="20" t="str">
        <f>image("https://pokejungle.net/sprites/normal/"&amp;N50&amp;".png")</f>
        <v/>
      </c>
      <c r="P51" s="16" t="str">
        <f>image("https://i.imgur.com/beHgI95.png")</f>
        <v/>
      </c>
      <c r="Q51" s="20" t="str">
        <f>image("https://pokejungle.net/sprites/normal/"&amp;P50&amp;".png")</f>
        <v/>
      </c>
      <c r="R51" s="33"/>
    </row>
    <row r="52" ht="26.25" customHeight="1">
      <c r="A52" s="15"/>
      <c r="B52" s="38" t="str">
        <f>image("https://i.imgur.com/XIu6jDl.png")</f>
        <v/>
      </c>
      <c r="C52" s="36"/>
      <c r="D52" s="35" t="str">
        <f>image("https://i.imgur.com/XIu6jDl.png")</f>
        <v/>
      </c>
      <c r="E52" s="36"/>
      <c r="F52" s="35" t="str">
        <f>image("https://i.imgur.com/XIu6jDl.png")</f>
        <v/>
      </c>
      <c r="G52" s="36"/>
      <c r="H52" s="37" t="str">
        <f>image("https://i.imgur.com/XIu6jDl.png")</f>
        <v/>
      </c>
      <c r="I52" s="36"/>
      <c r="J52" s="38" t="str">
        <f>image("https://i.imgur.com/XIu6jDl.png")</f>
        <v/>
      </c>
      <c r="K52" s="36"/>
      <c r="L52" s="35" t="str">
        <f>image("https://i.imgur.com/XIu6jDl.png")</f>
        <v/>
      </c>
      <c r="M52" s="36"/>
      <c r="N52" s="38" t="str">
        <f>image("https://i.imgur.com/EkqYYOB.png")</f>
        <v/>
      </c>
      <c r="O52" s="36"/>
      <c r="P52" s="38" t="str">
        <f>image("https://i.imgur.com/EkqYYOB.png")</f>
        <v/>
      </c>
      <c r="Q52" s="36"/>
      <c r="R52" s="33"/>
    </row>
    <row r="53" ht="26.25" customHeight="1">
      <c r="A53" s="15"/>
      <c r="B53" s="40"/>
      <c r="C53" s="41"/>
      <c r="D53" s="40"/>
      <c r="E53" s="41"/>
      <c r="F53" s="40"/>
      <c r="G53" s="41"/>
      <c r="H53" s="40" t="str">
        <f>image("https://i.imgur.com/VQL4lPa.png")</f>
        <v/>
      </c>
      <c r="I53" s="41"/>
      <c r="J53" s="43" t="str">
        <f>image("https://i.imgur.com/JDgAgAO.png")</f>
        <v/>
      </c>
      <c r="K53" s="41"/>
      <c r="L53" s="43" t="str">
        <f>image("https://i.imgur.com/JDgAgAO.png")</f>
        <v/>
      </c>
      <c r="M53" s="41"/>
      <c r="N53" s="40"/>
      <c r="O53" s="41"/>
      <c r="P53" s="40"/>
      <c r="Q53" s="41"/>
      <c r="R53" s="33"/>
    </row>
    <row r="54" ht="26.25" customHeight="1">
      <c r="A54" s="15"/>
      <c r="B54" s="16" t="str">
        <f>image("https://i.imgur.com/XIu6jDl.png")</f>
        <v/>
      </c>
      <c r="C54" s="20" t="str">
        <f>image("https://pokejungle.net/sprites/shiny/"&amp;B50&amp;".png")</f>
        <v/>
      </c>
      <c r="D54" s="16" t="str">
        <f>image("https://i.imgur.com/rAI9Gyi.png")</f>
        <v/>
      </c>
      <c r="E54" s="20" t="str">
        <f>image("https://pokejungle.net/sprites/shiny/"&amp;D50&amp;".png")</f>
        <v/>
      </c>
      <c r="F54" s="16" t="str">
        <f>image("https://i.imgur.com/rAI9Gyi.png")</f>
        <v/>
      </c>
      <c r="G54" s="20" t="str">
        <f>image("https://pokejungle.net/sprites/shiny/"&amp;F50&amp;"-1.png")</f>
        <v/>
      </c>
      <c r="H54" s="16" t="str">
        <f>image("https://i.imgur.com/N2Wqr43.png")</f>
        <v/>
      </c>
      <c r="I54" s="20" t="str">
        <f>image("https://pokejungle.net/sprites/shiny/"&amp;H50&amp;".png")</f>
        <v/>
      </c>
      <c r="J54" s="16" t="str">
        <f>image("https://i.imgur.com/XzidFHI.png")</f>
        <v/>
      </c>
      <c r="K54" s="20" t="str">
        <f>image("https://pokejungle.net/sprites/shiny/"&amp;J50&amp;"-1.png")</f>
        <v/>
      </c>
      <c r="L54" s="16" t="str">
        <f>image("https://i.imgur.com/JOd7Boe.png")</f>
        <v/>
      </c>
      <c r="M54" s="20" t="str">
        <f>image("https://pokejungle.net/sprites/shiny/"&amp;L50&amp;"-2.png")</f>
        <v/>
      </c>
      <c r="N54" s="16" t="str">
        <f>image("https://i.imgur.com/JDgAgAO.png")</f>
        <v/>
      </c>
      <c r="O54" s="20" t="str">
        <f>image("https://pokejungle.net/sprites/shiny/"&amp;N50&amp;".png")</f>
        <v/>
      </c>
      <c r="P54" s="16" t="str">
        <f>image("https://i.imgur.com/JDgAgAO.png")</f>
        <v/>
      </c>
      <c r="Q54" s="20" t="str">
        <f>image("https://pokejungle.net/sprites/shiny/"&amp;P50&amp;".png")</f>
        <v/>
      </c>
      <c r="R54" s="33"/>
    </row>
    <row r="55" ht="26.25" customHeight="1">
      <c r="A55" s="15"/>
      <c r="B55" s="46" t="str">
        <f>image("https://i.imgur.com/VQL4lPa.png")</f>
        <v/>
      </c>
      <c r="C55" s="36"/>
      <c r="D55" s="46" t="str">
        <f>image("https://i.imgur.com/XIu6jDl.png")</f>
        <v/>
      </c>
      <c r="E55" s="36"/>
      <c r="F55" s="35" t="str">
        <f>image("https://i.imgur.com/XIu6jDl.png")</f>
        <v/>
      </c>
      <c r="G55" s="36"/>
      <c r="H55" s="46" t="str">
        <f>image("https://i.imgur.com/XIu6jDl.png")</f>
        <v/>
      </c>
      <c r="I55" s="36"/>
      <c r="J55" s="38" t="str">
        <f>image("https://i.imgur.com/XIu6jDl.png")</f>
        <v/>
      </c>
      <c r="K55" s="36"/>
      <c r="L55" s="46" t="str">
        <f>image("https://i.imgur.com/XIu6jDl.png")</f>
        <v/>
      </c>
      <c r="M55" s="36"/>
      <c r="N55" s="37" t="str">
        <f>image("https://i.imgur.com/beHgI95.png")</f>
        <v/>
      </c>
      <c r="O55" s="36"/>
      <c r="P55" s="38" t="str">
        <f>image("https://i.imgur.com/zpybKax.png")</f>
        <v/>
      </c>
      <c r="Q55" s="36"/>
      <c r="R55" s="33"/>
    </row>
    <row r="56" ht="26.25" customHeight="1">
      <c r="A56" s="15"/>
      <c r="B56" s="40"/>
      <c r="C56" s="41"/>
      <c r="D56" s="43" t="str">
        <f>image("https://i.imgur.com/zpybKax.png")</f>
        <v/>
      </c>
      <c r="E56" s="41"/>
      <c r="F56" s="43" t="str">
        <f>image("https://i.imgur.com/zpybKax.png")</f>
        <v/>
      </c>
      <c r="G56" s="41"/>
      <c r="H56" s="40" t="str">
        <f>image("https://i.imgur.com/VQL4lPa.png")</f>
        <v/>
      </c>
      <c r="I56" s="41"/>
      <c r="J56" s="43" t="str">
        <f>image("https://i.imgur.com/JDgAgAO.png")</f>
        <v/>
      </c>
      <c r="K56" s="41"/>
      <c r="L56" s="43" t="str">
        <f>image("https://i.imgur.com/JDgAgAO.png")</f>
        <v/>
      </c>
      <c r="M56" s="41"/>
      <c r="N56" s="43" t="str">
        <f>image("https://i.imgur.com/zpybKax.png")</f>
        <v/>
      </c>
      <c r="O56" s="41"/>
      <c r="P56" s="40" t="str">
        <f>image("https://i.imgur.com/lpOVjtL.png")</f>
        <v/>
      </c>
      <c r="Q56" s="41"/>
      <c r="R56" s="33"/>
    </row>
    <row r="57" ht="18.75" customHeight="1">
      <c r="A57" s="6"/>
      <c r="B57" s="8" t="s">
        <v>1569</v>
      </c>
      <c r="C57" s="10" t="s">
        <v>1570</v>
      </c>
      <c r="D57" s="8" t="s">
        <v>1571</v>
      </c>
      <c r="E57" s="10" t="s">
        <v>1572</v>
      </c>
      <c r="F57" s="8" t="s">
        <v>1571</v>
      </c>
      <c r="G57" s="10" t="s">
        <v>1573</v>
      </c>
      <c r="H57" s="8" t="s">
        <v>1574</v>
      </c>
      <c r="I57" s="10" t="s">
        <v>1576</v>
      </c>
      <c r="J57" s="8" t="s">
        <v>1574</v>
      </c>
      <c r="K57" s="68" t="s">
        <v>1581</v>
      </c>
      <c r="L57" s="8" t="s">
        <v>1584</v>
      </c>
      <c r="M57" s="10" t="s">
        <v>1587</v>
      </c>
      <c r="N57" s="8" t="s">
        <v>1589</v>
      </c>
      <c r="O57" s="10" t="s">
        <v>1592</v>
      </c>
      <c r="P57" s="8" t="s">
        <v>1595</v>
      </c>
      <c r="Q57" s="10" t="s">
        <v>1598</v>
      </c>
      <c r="R57" s="14"/>
    </row>
    <row r="58" ht="26.25" customHeight="1">
      <c r="A58" s="15"/>
      <c r="B58" s="16" t="str">
        <f>image("https://i.imgur.com/JOd7Boe.png")</f>
        <v/>
      </c>
      <c r="C58" s="20" t="str">
        <f>image("https://pokejungle.net/sprites/normal/"&amp;B57&amp;".png")</f>
        <v/>
      </c>
      <c r="D58" s="16" t="str">
        <f>image("https://i.imgur.com/RqSOGo6.png")</f>
        <v/>
      </c>
      <c r="E58" s="20" t="str">
        <f>image("https://pokejungle.net/sprites/normal/"&amp;D57&amp;".png")</f>
        <v/>
      </c>
      <c r="F58" s="16" t="str">
        <f>image("https://i.imgur.com/XNzvO0H.png")</f>
        <v/>
      </c>
      <c r="G58" s="20" t="str">
        <f>image("https://pokejungle.net/sprites/normal/"&amp;F57&amp;"-1.png")</f>
        <v/>
      </c>
      <c r="H58" s="24" t="str">
        <f>image("https://i.imgur.com/RqSOGo6.png")</f>
        <v/>
      </c>
      <c r="I58" s="20" t="str">
        <f>image("https://pokejungle.net/sprites/normal/"&amp;H57&amp;".png")</f>
        <v/>
      </c>
      <c r="J58" s="16" t="str">
        <f>image("https://i.imgur.com/XNzvO0H.png")</f>
        <v/>
      </c>
      <c r="K58" s="20" t="str">
        <f>image("https://pokejungle.net/sprites/normal/"&amp;J57&amp;"-1.png")</f>
        <v/>
      </c>
      <c r="L58" s="28" t="str">
        <f>image("https://i.imgur.com/VQL4lPa.png")</f>
        <v/>
      </c>
      <c r="M58" s="20" t="str">
        <f>image("https://pokejungle.net/sprites/normal/"&amp;L57&amp;".png")</f>
        <v/>
      </c>
      <c r="N58" s="16" t="str">
        <f>image("https://i.imgur.com/RqSOGo6.png")</f>
        <v/>
      </c>
      <c r="O58" s="20" t="str">
        <f>image("https://pokejungle.net/sprites/normal/"&amp;N57&amp;".png")</f>
        <v/>
      </c>
      <c r="P58" s="16" t="str">
        <f>image("https://i.imgur.com/RqSOGo6.png")</f>
        <v/>
      </c>
      <c r="Q58" s="20" t="str">
        <f>image("https://pokejungle.net/sprites/normal/"&amp;P57&amp;".png")</f>
        <v/>
      </c>
      <c r="R58" s="33"/>
    </row>
    <row r="59" ht="26.25" customHeight="1">
      <c r="A59" s="15"/>
      <c r="B59" s="37" t="str">
        <f>image("https://i.imgur.com/GyNf8BH.png")</f>
        <v/>
      </c>
      <c r="C59" s="36"/>
      <c r="D59" s="35"/>
      <c r="E59" s="36"/>
      <c r="F59" s="35"/>
      <c r="G59" s="36"/>
      <c r="H59" s="37"/>
      <c r="I59" s="36"/>
      <c r="J59" s="46" t="str">
        <f>image("https://i.imgur.com/0ArMZjJ.png")</f>
        <v/>
      </c>
      <c r="K59" s="36"/>
      <c r="L59" s="35" t="str">
        <f>image("https://i.imgur.com/XIu6jDl.png")</f>
        <v/>
      </c>
      <c r="M59" s="36"/>
      <c r="N59" s="35" t="str">
        <f>image("https://i.imgur.com/lpOVjtL.png")</f>
        <v/>
      </c>
      <c r="O59" s="36"/>
      <c r="P59" s="35" t="str">
        <f>image("https://i.imgur.com/lpOVjtL.png")</f>
        <v/>
      </c>
      <c r="Q59" s="36"/>
      <c r="R59" s="33"/>
    </row>
    <row r="60" ht="26.25" customHeight="1">
      <c r="A60" s="15"/>
      <c r="B60" s="40" t="str">
        <f>image("https://i.imgur.com/bxys1sd.png")</f>
        <v/>
      </c>
      <c r="C60" s="41"/>
      <c r="D60" s="40"/>
      <c r="E60" s="41"/>
      <c r="F60" s="40"/>
      <c r="G60" s="41"/>
      <c r="H60" s="40"/>
      <c r="I60" s="41"/>
      <c r="J60" s="40"/>
      <c r="K60" s="41"/>
      <c r="L60" s="43" t="str">
        <f>image("https://i.imgur.com/rAI9Gyi.png")</f>
        <v/>
      </c>
      <c r="M60" s="41"/>
      <c r="N60" s="40"/>
      <c r="O60" s="41"/>
      <c r="P60" s="40"/>
      <c r="Q60" s="41"/>
      <c r="R60" s="33"/>
    </row>
    <row r="61" ht="26.25" customHeight="1">
      <c r="A61" s="15"/>
      <c r="B61" s="16" t="str">
        <f>image("https://i.imgur.com/beHgI95.png")</f>
        <v/>
      </c>
      <c r="C61" s="20" t="str">
        <f>image("https://pokejungle.net/sprites/shiny/"&amp;B57&amp;".png")</f>
        <v/>
      </c>
      <c r="D61" s="16" t="str">
        <f>image("https://i.imgur.com/rAI9Gyi.png")</f>
        <v/>
      </c>
      <c r="E61" s="20" t="str">
        <f>image("https://pokejungle.net/sprites/shiny/"&amp;D57&amp;".png")</f>
        <v/>
      </c>
      <c r="F61" s="16" t="str">
        <f>image("https://i.imgur.com/XNzvO0H.png")</f>
        <v/>
      </c>
      <c r="G61" s="20" t="str">
        <f>image("https://pokejungle.net/sprites/shiny/"&amp;F57&amp;"-1.png")</f>
        <v/>
      </c>
      <c r="H61" s="16" t="str">
        <f>image("https://i.imgur.com/RqSOGo6.png")</f>
        <v/>
      </c>
      <c r="I61" s="20" t="str">
        <f>image("https://pokejungle.net/sprites/shiny/"&amp;H57&amp;".png")</f>
        <v/>
      </c>
      <c r="J61" s="16" t="str">
        <f>image("https://i.imgur.com/XNzvO0H.png")</f>
        <v/>
      </c>
      <c r="K61" s="20" t="str">
        <f>image("https://pokejungle.net/sprites/shiny/"&amp;J57&amp;"-1.png")</f>
        <v/>
      </c>
      <c r="L61" s="16" t="str">
        <f>image("https://i.imgur.com/VQL4lPa.png")</f>
        <v/>
      </c>
      <c r="M61" s="20" t="str">
        <f>image("https://pokejungle.net/sprites/shiny/"&amp;L57&amp;".png")</f>
        <v/>
      </c>
      <c r="N61" s="16" t="str">
        <f>image("https://i.imgur.com/RqSOGo6.png")</f>
        <v/>
      </c>
      <c r="O61" s="20" t="str">
        <f>image("https://pokejungle.net/sprites/shiny/"&amp;N57&amp;".png")</f>
        <v/>
      </c>
      <c r="P61" s="16" t="str">
        <f>image("https://i.imgur.com/XIu6jDl.png")</f>
        <v/>
      </c>
      <c r="Q61" s="20" t="str">
        <f>image("https://pokejungle.net/sprites/shiny/"&amp;P57&amp;".png")</f>
        <v/>
      </c>
      <c r="R61" s="33"/>
    </row>
    <row r="62" ht="26.25" customHeight="1">
      <c r="A62" s="15"/>
      <c r="B62" s="38" t="str">
        <f>image("https://i.imgur.com/XIu6jDl.png")</f>
        <v/>
      </c>
      <c r="C62" s="36"/>
      <c r="D62" s="46"/>
      <c r="E62" s="36"/>
      <c r="F62" s="35"/>
      <c r="G62" s="36"/>
      <c r="H62" s="46" t="str">
        <f>image("https://i.imgur.com/EkqYYOB.png")</f>
        <v/>
      </c>
      <c r="I62" s="36"/>
      <c r="J62" s="46" t="str">
        <f>image("https://i.imgur.com/0ArMZjJ.png")</f>
        <v/>
      </c>
      <c r="K62" s="36"/>
      <c r="L62" s="46" t="str">
        <f>image("https://i.imgur.com/XIu6jDl.png")</f>
        <v/>
      </c>
      <c r="M62" s="36"/>
      <c r="N62" s="35" t="str">
        <f>image("https://i.imgur.com/lpOVjtL.png")</f>
        <v/>
      </c>
      <c r="O62" s="36"/>
      <c r="P62" s="35" t="str">
        <f>image("https://i.imgur.com/lpOVjtL.png")</f>
        <v/>
      </c>
      <c r="Q62" s="36"/>
      <c r="R62" s="33"/>
    </row>
    <row r="63" ht="26.25" customHeight="1">
      <c r="A63" s="15"/>
      <c r="B63" s="40" t="str">
        <f>image("https://i.imgur.com/lpOVjtL.png")</f>
        <v/>
      </c>
      <c r="C63" s="41"/>
      <c r="D63" s="43"/>
      <c r="E63" s="41"/>
      <c r="F63" s="40"/>
      <c r="G63" s="41"/>
      <c r="H63" s="43"/>
      <c r="I63" s="41"/>
      <c r="J63" s="40"/>
      <c r="K63" s="41"/>
      <c r="L63" s="43" t="str">
        <f>image("https://i.imgur.com/rAI9Gyi.png")</f>
        <v/>
      </c>
      <c r="M63" s="41"/>
      <c r="N63" s="40"/>
      <c r="O63" s="41"/>
      <c r="P63" s="40"/>
      <c r="Q63" s="41"/>
      <c r="R63" s="33"/>
    </row>
    <row r="64" ht="18.75" customHeight="1">
      <c r="A64" s="6"/>
      <c r="B64" s="8" t="s">
        <v>1640</v>
      </c>
      <c r="C64" s="10" t="s">
        <v>1641</v>
      </c>
      <c r="D64" s="8" t="s">
        <v>1642</v>
      </c>
      <c r="E64" s="10" t="s">
        <v>1643</v>
      </c>
      <c r="F64" s="8" t="s">
        <v>1644</v>
      </c>
      <c r="G64" s="10" t="s">
        <v>1645</v>
      </c>
      <c r="H64" s="8" t="s">
        <v>1647</v>
      </c>
      <c r="I64" s="10" t="s">
        <v>1650</v>
      </c>
      <c r="J64" s="8" t="s">
        <v>1647</v>
      </c>
      <c r="K64" s="10" t="s">
        <v>1654</v>
      </c>
      <c r="L64" s="8" t="s">
        <v>1657</v>
      </c>
      <c r="M64" s="10" t="s">
        <v>1660</v>
      </c>
      <c r="N64" s="8" t="s">
        <v>1663</v>
      </c>
      <c r="O64" s="10" t="s">
        <v>1666</v>
      </c>
      <c r="P64" s="8" t="s">
        <v>1668</v>
      </c>
      <c r="Q64" s="10" t="s">
        <v>1670</v>
      </c>
      <c r="R64" s="14"/>
    </row>
    <row r="65" ht="26.25" customHeight="1">
      <c r="A65" s="15"/>
      <c r="B65" s="16" t="str">
        <f>image("https://i.imgur.com/RqSOGo6.png")</f>
        <v/>
      </c>
      <c r="C65" s="20" t="str">
        <f>image("https://pokejungle.net/sprites/normal/"&amp;B64&amp;".png")</f>
        <v/>
      </c>
      <c r="D65" s="16" t="str">
        <f>image("https://i.imgur.com/RqSOGo6.png")</f>
        <v/>
      </c>
      <c r="E65" s="20" t="str">
        <f>image("https://pokejungle.net/sprites/normal/"&amp;D64&amp;".png")</f>
        <v/>
      </c>
      <c r="F65" s="16" t="str">
        <f>image("https://i.imgur.com/beHgI95.png")</f>
        <v/>
      </c>
      <c r="G65" s="20" t="str">
        <f>image("https://pokejungle.net/sprites/normal/"&amp;F64&amp;".png")</f>
        <v/>
      </c>
      <c r="H65" s="24" t="str">
        <f>image("https://i.imgur.com/EkqYYOB.png")</f>
        <v/>
      </c>
      <c r="I65" s="20" t="str">
        <f>image("https://pokejungle.net/sprites/normal/"&amp;H64&amp;".png")</f>
        <v/>
      </c>
      <c r="J65" s="16" t="str">
        <f>image("https://i.imgur.com/JOd7Boe.png")</f>
        <v/>
      </c>
      <c r="K65" s="20" t="str">
        <f>image("https://pokejungle.net/sprites/normal/"&amp;J64&amp;"-1.png")</f>
        <v/>
      </c>
      <c r="L65" s="28" t="str">
        <f>image("https://i.imgur.com/EkqYYOB.png")</f>
        <v/>
      </c>
      <c r="M65" s="20" t="str">
        <f>image("https://pokejungle.net/sprites/normal/"&amp;L64&amp;".png")</f>
        <v/>
      </c>
      <c r="N65" s="16" t="str">
        <f>image("https://i.imgur.com/XNzvO0H.png")</f>
        <v/>
      </c>
      <c r="O65" s="20" t="str">
        <f>image("https://pokejungle.net/sprites/normal/"&amp;N64&amp;".png")</f>
        <v/>
      </c>
      <c r="P65" s="16" t="str">
        <f>image("https://i.imgur.com/XNzvO0H.png")</f>
        <v/>
      </c>
      <c r="Q65" s="20" t="str">
        <f>image("https://pokejungle.net/sprites/normal/"&amp;P64&amp;".png")</f>
        <v/>
      </c>
      <c r="R65" s="33"/>
    </row>
    <row r="66" ht="26.25" customHeight="1">
      <c r="A66" s="15"/>
      <c r="B66" s="38" t="str">
        <f>image("https://i.imgur.com/lKAfx6k.png")</f>
        <v/>
      </c>
      <c r="C66" s="36"/>
      <c r="D66" s="35" t="str">
        <f>image("https://i.imgur.com/lKAfx6k.png")</f>
        <v/>
      </c>
      <c r="E66" s="36"/>
      <c r="F66" s="35" t="str">
        <f>image("https://i.imgur.com/zpybKax.png")</f>
        <v/>
      </c>
      <c r="G66" s="36"/>
      <c r="H66" s="37" t="str">
        <f>image("https://i.imgur.com/beHgI95.png")</f>
        <v/>
      </c>
      <c r="I66" s="36"/>
      <c r="J66" s="38" t="str">
        <f>image("https://i.imgur.com/N2Wqr43.png")</f>
        <v/>
      </c>
      <c r="K66" s="36"/>
      <c r="L66" s="35" t="str">
        <f>image("https://i.imgur.com/beHgI95.png")</f>
        <v/>
      </c>
      <c r="M66" s="36"/>
      <c r="N66" s="38" t="str">
        <f>image("https://i.imgur.com/XzidFHI.png")</f>
        <v/>
      </c>
      <c r="O66" s="36"/>
      <c r="P66" s="38" t="str">
        <f>image("https://i.imgur.com/XzidFHI.png")</f>
        <v/>
      </c>
      <c r="Q66" s="36"/>
      <c r="R66" s="33"/>
    </row>
    <row r="67" ht="26.25" customHeight="1">
      <c r="A67" s="15"/>
      <c r="B67" s="40"/>
      <c r="C67" s="41"/>
      <c r="D67" s="40"/>
      <c r="E67" s="41"/>
      <c r="F67" s="40" t="str">
        <f>image("https://i.imgur.com/EkqYYOB.png")</f>
        <v/>
      </c>
      <c r="G67" s="41"/>
      <c r="H67" s="40" t="str">
        <f>image("https://i.imgur.com/N2Wqr43.png")</f>
        <v/>
      </c>
      <c r="I67" s="41"/>
      <c r="J67" s="40"/>
      <c r="K67" s="41"/>
      <c r="L67" s="43" t="str">
        <f>image("https://i.imgur.com/JDgAgAO.png")</f>
        <v/>
      </c>
      <c r="M67" s="41"/>
      <c r="N67" s="40"/>
      <c r="O67" s="41"/>
      <c r="P67" s="40"/>
      <c r="Q67" s="41"/>
      <c r="R67" s="33"/>
    </row>
    <row r="68" ht="26.25" customHeight="1">
      <c r="A68" s="15"/>
      <c r="B68" s="16" t="str">
        <f>image("https://i.imgur.com/RqSOGo6.png")</f>
        <v/>
      </c>
      <c r="C68" s="20" t="str">
        <f>image("https://pokejungle.net/sprites/shiny/"&amp;B64&amp;".png")</f>
        <v/>
      </c>
      <c r="D68" s="16" t="str">
        <f>image("https://i.imgur.com/N2Wqr43.png")</f>
        <v/>
      </c>
      <c r="E68" s="20" t="str">
        <f>image("https://pokejungle.net/sprites/shiny/"&amp;D64&amp;".png")</f>
        <v/>
      </c>
      <c r="F68" s="16" t="str">
        <f>image("https://i.imgur.com/beHgI95.png")</f>
        <v/>
      </c>
      <c r="G68" s="20" t="str">
        <f>image("https://pokejungle.net/sprites/shiny/"&amp;F64&amp;".png")</f>
        <v/>
      </c>
      <c r="H68" s="16" t="str">
        <f>image("https://i.imgur.com/JDgAgAO.png")</f>
        <v/>
      </c>
      <c r="I68" s="20" t="str">
        <f>image("https://pokejungle.net/sprites/shiny/"&amp;H64&amp;".png")</f>
        <v/>
      </c>
      <c r="J68" s="16" t="str">
        <f>image("https://i.imgur.com/JOd7Boe.png")</f>
        <v/>
      </c>
      <c r="K68" s="20" t="str">
        <f>image("https://pokejungle.net/sprites/shiny/"&amp;J64&amp;"-1.png")</f>
        <v/>
      </c>
      <c r="L68" s="16" t="str">
        <f>image("https://i.imgur.com/rAI9Gyi.png")</f>
        <v/>
      </c>
      <c r="M68" s="20" t="str">
        <f>image("https://pokejungle.net/sprites/shiny/"&amp;L64&amp;".png")</f>
        <v/>
      </c>
      <c r="N68" s="16" t="str">
        <f>image("https://i.imgur.com/XzidFHI.png")</f>
        <v/>
      </c>
      <c r="O68" s="20" t="str">
        <f>image("https://pokejungle.net/sprites/shiny/"&amp;N64&amp;".png")</f>
        <v/>
      </c>
      <c r="P68" s="16" t="str">
        <f>image("https://i.imgur.com/XzidFHI.png")</f>
        <v/>
      </c>
      <c r="Q68" s="20" t="str">
        <f>image("https://pokejungle.net/sprites/shiny/"&amp;P64&amp;".png")</f>
        <v/>
      </c>
      <c r="R68" s="33"/>
    </row>
    <row r="69" ht="26.25" customHeight="1">
      <c r="A69" s="15"/>
      <c r="B69" s="38" t="str">
        <f>image("https://i.imgur.com/lKAfx6k.png")</f>
        <v/>
      </c>
      <c r="C69" s="36"/>
      <c r="D69" s="46" t="str">
        <f>image("https://i.imgur.com/VQL4lPa.png")</f>
        <v/>
      </c>
      <c r="E69" s="36"/>
      <c r="F69" s="35" t="str">
        <f>image("https://i.imgur.com/VQL4lPa.png")</f>
        <v/>
      </c>
      <c r="G69" s="36"/>
      <c r="H69" s="46" t="str">
        <f>image("https://i.imgur.com/EkqYYOB.png")</f>
        <v/>
      </c>
      <c r="I69" s="36"/>
      <c r="J69" s="38" t="str">
        <f>image("https://i.imgur.com/N2Wqr43.png")</f>
        <v/>
      </c>
      <c r="K69" s="36"/>
      <c r="L69" s="46" t="str">
        <f>image("https://i.imgur.com/XI18XGu.png")</f>
        <v/>
      </c>
      <c r="M69" s="36"/>
      <c r="N69" s="38" t="str">
        <f>image("https://i.imgur.com/XNzvO0H.png")</f>
        <v/>
      </c>
      <c r="O69" s="36"/>
      <c r="P69" s="38" t="str">
        <f>image("https://i.imgur.com/XNzvO0H.png")</f>
        <v/>
      </c>
      <c r="Q69" s="36"/>
      <c r="R69" s="33"/>
    </row>
    <row r="70" ht="26.25" customHeight="1">
      <c r="A70" s="15"/>
      <c r="B70" s="40"/>
      <c r="C70" s="41"/>
      <c r="D70" s="43" t="str">
        <f>image("https://i.imgur.com/RqSOGo6.png")</f>
        <v/>
      </c>
      <c r="E70" s="41"/>
      <c r="F70" s="40" t="str">
        <f>image("https://i.imgur.com/EkqYYOB.png")</f>
        <v/>
      </c>
      <c r="G70" s="41"/>
      <c r="H70" s="43" t="str">
        <f>image("https://i.imgur.com/N2Wqr43.png")</f>
        <v/>
      </c>
      <c r="I70" s="41"/>
      <c r="J70" s="40"/>
      <c r="K70" s="41"/>
      <c r="L70" s="43" t="str">
        <f>image("https://i.imgur.com/N2Wqr43.png")</f>
        <v/>
      </c>
      <c r="M70" s="41"/>
      <c r="N70" s="40"/>
      <c r="O70" s="41"/>
      <c r="P70" s="40"/>
      <c r="Q70" s="41"/>
      <c r="R70" s="33"/>
    </row>
    <row r="71" ht="18.75" customHeight="1">
      <c r="A71" s="6"/>
      <c r="B71" s="8" t="s">
        <v>1748</v>
      </c>
      <c r="C71" s="10" t="s">
        <v>1749</v>
      </c>
      <c r="D71" s="8" t="s">
        <v>1750</v>
      </c>
      <c r="E71" s="10" t="s">
        <v>1751</v>
      </c>
      <c r="F71" s="8" t="s">
        <v>1752</v>
      </c>
      <c r="G71" s="10" t="s">
        <v>1753</v>
      </c>
      <c r="H71" s="8" t="s">
        <v>1754</v>
      </c>
      <c r="I71" s="10" t="s">
        <v>1755</v>
      </c>
      <c r="J71" s="8" t="s">
        <v>1756</v>
      </c>
      <c r="K71" s="10" t="s">
        <v>1757</v>
      </c>
      <c r="L71" s="8" t="s">
        <v>1756</v>
      </c>
      <c r="M71" s="10" t="s">
        <v>1758</v>
      </c>
      <c r="N71" s="8" t="s">
        <v>1759</v>
      </c>
      <c r="O71" s="10" t="s">
        <v>1760</v>
      </c>
      <c r="P71" s="8" t="s">
        <v>1759</v>
      </c>
      <c r="Q71" s="10" t="s">
        <v>1761</v>
      </c>
      <c r="R71" s="14"/>
    </row>
    <row r="72" ht="26.25" customHeight="1">
      <c r="A72" s="15"/>
      <c r="B72" s="16" t="str">
        <f>image("https://i.imgur.com/SF5CZ6U.png")</f>
        <v/>
      </c>
      <c r="C72" s="20" t="str">
        <f>image("https://pokejungle.net/sprites/normal/"&amp;B71&amp;".png")</f>
        <v/>
      </c>
      <c r="D72" s="16" t="str">
        <f>image("https://i.imgur.com/SF5CZ6U.png")</f>
        <v/>
      </c>
      <c r="E72" s="20" t="str">
        <f>image("https://pokejungle.net/sprites/normal/"&amp;D71&amp;".png")</f>
        <v/>
      </c>
      <c r="F72" s="16" t="str">
        <f>image("https://i.imgur.com/XIu6jDl.png")</f>
        <v/>
      </c>
      <c r="G72" s="20" t="str">
        <f>image("https://pokejungle.net/sprites/normal/"&amp;F71&amp;".png")</f>
        <v/>
      </c>
      <c r="H72" s="24" t="str">
        <f>image("https://i.imgur.com/XIu6jDl.png")</f>
        <v/>
      </c>
      <c r="I72" s="20" t="str">
        <f>image("https://pokejungle.net/sprites/normal/"&amp;H71&amp;".png")</f>
        <v/>
      </c>
      <c r="J72" s="16" t="str">
        <f>image("https://i.imgur.com/EkqYYOB.png")</f>
        <v/>
      </c>
      <c r="K72" s="20" t="str">
        <f>image("https://pokejungle.net/sprites/normal/"&amp;J71&amp;".png")</f>
        <v/>
      </c>
      <c r="L72" s="28" t="str">
        <f>image("https://i.imgur.com/0ArMZjJ.png")</f>
        <v/>
      </c>
      <c r="M72" s="20" t="str">
        <f>image("https://pokejungle.net/sprites/normal/"&amp;L71&amp;"-1.png")</f>
        <v/>
      </c>
      <c r="N72" s="16" t="str">
        <f>image("https://i.imgur.com/EkqYYOB.png")</f>
        <v/>
      </c>
      <c r="O72" s="20" t="str">
        <f>image("https://pokejungle.net/sprites/normal/"&amp;N71&amp;".png")</f>
        <v/>
      </c>
      <c r="P72" s="16" t="str">
        <f>image("https://i.imgur.com/0ArMZjJ.png")</f>
        <v/>
      </c>
      <c r="Q72" s="20" t="str">
        <f>image("https://pokejungle.net/sprites/normal/"&amp;P71&amp;"-1.png")</f>
        <v/>
      </c>
      <c r="R72" s="33"/>
    </row>
    <row r="73" ht="26.25" customHeight="1">
      <c r="A73" s="15"/>
      <c r="B73" s="38" t="str">
        <f>image("https://i.imgur.com/zpybKax.png")</f>
        <v/>
      </c>
      <c r="C73" s="36"/>
      <c r="D73" s="35" t="str">
        <f>image("https://i.imgur.com/zpybKax.png")</f>
        <v/>
      </c>
      <c r="E73" s="36"/>
      <c r="F73" s="35"/>
      <c r="G73" s="36"/>
      <c r="H73" s="37"/>
      <c r="I73" s="36"/>
      <c r="J73" s="38" t="str">
        <f>image("https://i.imgur.com/N2Wqr43.png")</f>
        <v/>
      </c>
      <c r="K73" s="36"/>
      <c r="L73" s="35"/>
      <c r="M73" s="36"/>
      <c r="N73" s="38" t="str">
        <f>image("https://i.imgur.com/N2Wqr43.png")</f>
        <v/>
      </c>
      <c r="O73" s="36"/>
      <c r="P73" s="38"/>
      <c r="Q73" s="36"/>
      <c r="R73" s="33"/>
    </row>
    <row r="74" ht="26.25" customHeight="1">
      <c r="A74" s="15"/>
      <c r="B74" s="40" t="str">
        <f>image("https://i.imgur.com/ef1o2lD.png")</f>
        <v/>
      </c>
      <c r="C74" s="41"/>
      <c r="D74" s="40" t="str">
        <f t="shared" ref="D74:D75" si="3">image("https://i.imgur.com/ef1o2lD.png")</f>
        <v/>
      </c>
      <c r="E74" s="41"/>
      <c r="F74" s="40"/>
      <c r="G74" s="41"/>
      <c r="H74" s="40"/>
      <c r="I74" s="41"/>
      <c r="J74" s="40"/>
      <c r="K74" s="41"/>
      <c r="L74" s="43"/>
      <c r="M74" s="41"/>
      <c r="N74" s="40"/>
      <c r="O74" s="41"/>
      <c r="P74" s="40"/>
      <c r="Q74" s="41"/>
      <c r="R74" s="33"/>
    </row>
    <row r="75" ht="26.25" customHeight="1">
      <c r="A75" s="15"/>
      <c r="B75" s="16" t="str">
        <f>image("https://i.imgur.com/VQL4lPa.png")</f>
        <v/>
      </c>
      <c r="C75" s="20" t="str">
        <f>image("https://pokejungle.net/sprites/shiny/"&amp;B71&amp;".png")</f>
        <v/>
      </c>
      <c r="D75" s="16" t="str">
        <f t="shared" si="3"/>
        <v/>
      </c>
      <c r="E75" s="20" t="str">
        <f>image("https://pokejungle.net/sprites/shiny/"&amp;D71&amp;".png")</f>
        <v/>
      </c>
      <c r="F75" s="16" t="str">
        <f>image("https://i.imgur.com/JDgAgAO.png")</f>
        <v/>
      </c>
      <c r="G75" s="20" t="str">
        <f>image("https://pokejungle.net/sprites/shiny/"&amp;F71&amp;".png")</f>
        <v/>
      </c>
      <c r="H75" s="16" t="str">
        <f>image("https://i.imgur.com/JDgAgAO.png")</f>
        <v/>
      </c>
      <c r="I75" s="20" t="str">
        <f>image("https://pokejungle.net/sprites/shiny/"&amp;H71&amp;".png")</f>
        <v/>
      </c>
      <c r="J75" s="16" t="str">
        <f>image("https://i.imgur.com/JDgAgAO.png")</f>
        <v/>
      </c>
      <c r="K75" s="20" t="str">
        <f>image("https://pokejungle.net/sprites/shiny/"&amp;J71&amp;".png")</f>
        <v/>
      </c>
      <c r="L75" s="16" t="str">
        <f>image("https://i.imgur.com/JDgAgAO.png")</f>
        <v/>
      </c>
      <c r="M75" s="20" t="str">
        <f>image("https://pokejungle.net/sprites/shiny/"&amp;L71&amp;"-1.png")</f>
        <v/>
      </c>
      <c r="N75" s="16" t="str">
        <f>image("https://i.imgur.com/XI18XGu.png")</f>
        <v/>
      </c>
      <c r="O75" s="20" t="str">
        <f>image("https://pokejungle.net/sprites/shiny/"&amp;N71&amp;".png")</f>
        <v/>
      </c>
      <c r="P75" s="16" t="str">
        <f>image("https://i.imgur.com/XNzvO0H.png")</f>
        <v/>
      </c>
      <c r="Q75" s="20" t="str">
        <f>image("https://pokejungle.net/sprites/shiny/"&amp;P71&amp;"-1.png")</f>
        <v/>
      </c>
      <c r="R75" s="33"/>
    </row>
    <row r="76" ht="26.25" customHeight="1">
      <c r="A76" s="15"/>
      <c r="B76" s="38" t="str">
        <f>image("https://i.imgur.com/zpybKax.png")</f>
        <v/>
      </c>
      <c r="C76" s="36"/>
      <c r="D76" s="46" t="str">
        <f>image("https://i.imgur.com/SF5CZ6U.png")</f>
        <v/>
      </c>
      <c r="E76" s="36"/>
      <c r="F76" s="35" t="str">
        <f>image("https://i.imgur.com/NkILW1J.png")</f>
        <v/>
      </c>
      <c r="G76" s="36"/>
      <c r="H76" s="46" t="str">
        <f>image("https://i.imgur.com/NkILW1J.png")</f>
        <v/>
      </c>
      <c r="I76" s="36"/>
      <c r="J76" s="38" t="str">
        <f>image("https://i.imgur.com/N2Wqr43.png")</f>
        <v/>
      </c>
      <c r="K76" s="36"/>
      <c r="L76" s="46" t="str">
        <f>image("https://i.imgur.com/0ArMZjJ.png")</f>
        <v/>
      </c>
      <c r="M76" s="36"/>
      <c r="N76" s="38" t="str">
        <f>image("https://i.imgur.com/N2Wqr43.png")</f>
        <v/>
      </c>
      <c r="O76" s="36"/>
      <c r="P76" s="38" t="str">
        <f>image("https://i.imgur.com/0ArMZjJ.png")</f>
        <v/>
      </c>
      <c r="Q76" s="36"/>
      <c r="R76" s="33"/>
    </row>
    <row r="77" ht="26.25" customHeight="1">
      <c r="A77" s="15"/>
      <c r="B77" s="40"/>
      <c r="C77" s="41"/>
      <c r="D77" s="43" t="str">
        <f>image("https://i.imgur.com/zpybKax.png")</f>
        <v/>
      </c>
      <c r="E77" s="41"/>
      <c r="F77" s="40" t="str">
        <f>image("https://i.imgur.com/XzidFHI.png")</f>
        <v/>
      </c>
      <c r="G77" s="41"/>
      <c r="H77" s="43" t="str">
        <f>image("https://i.imgur.com/XzidFHI.png")</f>
        <v/>
      </c>
      <c r="I77" s="41"/>
      <c r="J77" s="43" t="str">
        <f>image("https://i.imgur.com/SF5CZ6U.png")</f>
        <v/>
      </c>
      <c r="K77" s="41"/>
      <c r="L77" s="40" t="str">
        <f>image("https://i.imgur.com/XNzvO0H.png")</f>
        <v/>
      </c>
      <c r="M77" s="41"/>
      <c r="N77" s="40" t="str">
        <f>image("https://i.imgur.com/JDgAgAO.png")</f>
        <v/>
      </c>
      <c r="O77" s="41"/>
      <c r="P77" s="40" t="str">
        <f>image("https://i.imgur.com/XI18XGu.png")</f>
        <v/>
      </c>
      <c r="Q77" s="41"/>
      <c r="R77" s="33"/>
    </row>
    <row r="78" ht="18.75" customHeight="1">
      <c r="A78" s="6"/>
      <c r="B78" s="8" t="s">
        <v>1809</v>
      </c>
      <c r="C78" s="10" t="s">
        <v>1810</v>
      </c>
      <c r="D78" s="8" t="s">
        <v>1811</v>
      </c>
      <c r="E78" s="10" t="s">
        <v>1812</v>
      </c>
      <c r="F78" s="8" t="s">
        <v>1813</v>
      </c>
      <c r="G78" s="10" t="s">
        <v>1814</v>
      </c>
      <c r="H78" s="8" t="s">
        <v>1815</v>
      </c>
      <c r="I78" s="10" t="s">
        <v>1816</v>
      </c>
      <c r="J78" s="8" t="s">
        <v>1817</v>
      </c>
      <c r="K78" s="10" t="s">
        <v>1818</v>
      </c>
      <c r="L78" s="8" t="s">
        <v>1819</v>
      </c>
      <c r="M78" s="10" t="s">
        <v>1820</v>
      </c>
      <c r="N78" s="8" t="s">
        <v>1821</v>
      </c>
      <c r="O78" s="10" t="s">
        <v>1822</v>
      </c>
      <c r="P78" s="8" t="s">
        <v>1823</v>
      </c>
      <c r="Q78" s="10" t="s">
        <v>1824</v>
      </c>
      <c r="R78" s="14"/>
    </row>
    <row r="79" ht="26.25" customHeight="1">
      <c r="A79" s="15"/>
      <c r="B79" s="16" t="str">
        <f>image("https://i.imgur.com/0ArMZjJ.png")</f>
        <v/>
      </c>
      <c r="C79" s="20" t="str">
        <f>image("https://pokejungle.net/sprites/normal/"&amp;B78&amp;".png")</f>
        <v/>
      </c>
      <c r="D79" s="16" t="str">
        <f>image("https://i.imgur.com/0ArMZjJ.png")</f>
        <v/>
      </c>
      <c r="E79" s="20" t="str">
        <f>image("https://pokejungle.net/sprites/normal/"&amp;D78&amp;".png")</f>
        <v/>
      </c>
      <c r="F79" s="16" t="str">
        <f>image("https://i.imgur.com/EkqYYOB.png")</f>
        <v/>
      </c>
      <c r="G79" s="20" t="str">
        <f>image("https://pokejungle.net/sprites/normal/"&amp;F78&amp;".png")</f>
        <v/>
      </c>
      <c r="H79" s="24" t="str">
        <f>image("https://i.imgur.com/EkqYYOB.png")</f>
        <v/>
      </c>
      <c r="I79" s="20" t="str">
        <f>image("https://pokejungle.net/sprites/normal/"&amp;H78&amp;".png")</f>
        <v/>
      </c>
      <c r="J79" s="16" t="str">
        <f>image("https://i.imgur.com/EkqYYOB.png")</f>
        <v/>
      </c>
      <c r="K79" s="20" t="str">
        <f>image("https://pokejungle.net/sprites/normal/"&amp;J78&amp;".png")</f>
        <v/>
      </c>
      <c r="L79" s="28" t="str">
        <f>image("https://i.imgur.com/VQL4lPa.png")</f>
        <v/>
      </c>
      <c r="M79" s="20" t="str">
        <f>image("https://pokejungle.net/sprites/normal/"&amp;L78&amp;".png")</f>
        <v/>
      </c>
      <c r="N79" s="16" t="str">
        <f>image("https://i.imgur.com/VQL4lPa.png")</f>
        <v/>
      </c>
      <c r="O79" s="20" t="str">
        <f>image("https://pokejungle.net/sprites/normal/"&amp;N78&amp;".png")</f>
        <v/>
      </c>
      <c r="P79" s="16" t="str">
        <f>image("https://i.imgur.com/VQL4lPa.png")</f>
        <v/>
      </c>
      <c r="Q79" s="20" t="str">
        <f>image("https://pokejungle.net/sprites/normal/"&amp;P78&amp;".png")</f>
        <v/>
      </c>
      <c r="R79" s="33"/>
    </row>
    <row r="80" ht="26.25" customHeight="1">
      <c r="A80" s="15"/>
      <c r="B80" s="38"/>
      <c r="C80" s="36"/>
      <c r="D80" s="35"/>
      <c r="E80" s="36"/>
      <c r="F80" s="35" t="str">
        <f>image("https://i.imgur.com/JOd7Boe.png")</f>
        <v/>
      </c>
      <c r="G80" s="36"/>
      <c r="H80" s="37" t="str">
        <f>image("https://i.imgur.com/JOd7Boe.png")</f>
        <v/>
      </c>
      <c r="I80" s="36"/>
      <c r="J80" s="38" t="str">
        <f>image("https://i.imgur.com/JOd7Boe.png")</f>
        <v/>
      </c>
      <c r="K80" s="36"/>
      <c r="L80" s="35" t="str">
        <f>image("https://i.imgur.com/XIu6jDl.png")</f>
        <v/>
      </c>
      <c r="M80" s="36"/>
      <c r="N80" s="38" t="str">
        <f>image("https://i.imgur.com/XIu6jDl.png")</f>
        <v/>
      </c>
      <c r="O80" s="36"/>
      <c r="P80" s="38" t="str">
        <f>image("https://i.imgur.com/XIu6jDl.png")</f>
        <v/>
      </c>
      <c r="Q80" s="36"/>
      <c r="R80" s="33"/>
    </row>
    <row r="81" ht="26.25" customHeight="1">
      <c r="A81" s="15"/>
      <c r="B81" s="40"/>
      <c r="C81" s="41"/>
      <c r="D81" s="40"/>
      <c r="E81" s="41"/>
      <c r="F81" s="40"/>
      <c r="G81" s="41"/>
      <c r="H81" s="40"/>
      <c r="I81" s="41"/>
      <c r="J81" s="40"/>
      <c r="K81" s="41"/>
      <c r="L81" s="43"/>
      <c r="M81" s="41"/>
      <c r="N81" s="40"/>
      <c r="O81" s="41"/>
      <c r="P81" s="40"/>
      <c r="Q81" s="41"/>
      <c r="R81" s="33"/>
    </row>
    <row r="82" ht="26.25" customHeight="1">
      <c r="A82" s="15"/>
      <c r="B82" s="16" t="str">
        <f>image("https://i.imgur.com/rAI9Gyi.png")</f>
        <v/>
      </c>
      <c r="C82" s="20" t="str">
        <f>image("https://pokejungle.net/sprites/shiny/"&amp;B78&amp;".png")</f>
        <v/>
      </c>
      <c r="D82" s="16" t="str">
        <f>image("https://i.imgur.com/rAI9Gyi.png")</f>
        <v/>
      </c>
      <c r="E82" s="20" t="str">
        <f>image("https://pokejungle.net/sprites/shiny/"&amp;D78&amp;".png")</f>
        <v/>
      </c>
      <c r="F82" s="16" t="str">
        <f>image("https://i.imgur.com/EkqYYOB.png")</f>
        <v/>
      </c>
      <c r="G82" s="20" t="str">
        <f>image("https://pokejungle.net/sprites/shiny/"&amp;F78&amp;".png")</f>
        <v/>
      </c>
      <c r="H82" s="16" t="str">
        <f>image("https://i.imgur.com/EkqYYOB.png")</f>
        <v/>
      </c>
      <c r="I82" s="20" t="str">
        <f>image("https://pokejungle.net/sprites/shiny/"&amp;H78&amp;".png")</f>
        <v/>
      </c>
      <c r="J82" s="16" t="str">
        <f>image("https://i.imgur.com/EkqYYOB.png")</f>
        <v/>
      </c>
      <c r="K82" s="20" t="str">
        <f>image("https://pokejungle.net/sprites/shiny/"&amp;J78&amp;".png")</f>
        <v/>
      </c>
      <c r="L82" s="16" t="str">
        <f>image("https://i.imgur.com/XNzvO0H.png")</f>
        <v/>
      </c>
      <c r="M82" s="20" t="str">
        <f>image("https://pokejungle.net/sprites/shiny/"&amp;L78&amp;".png")</f>
        <v/>
      </c>
      <c r="N82" s="16" t="str">
        <f>image("https://i.imgur.com/XNzvO0H.png")</f>
        <v/>
      </c>
      <c r="O82" s="20" t="str">
        <f>image("https://pokejungle.net/sprites/shiny/"&amp;N78&amp;".png")</f>
        <v/>
      </c>
      <c r="P82" s="16" t="str">
        <f>image("https://i.imgur.com/XNzvO0H.png")</f>
        <v/>
      </c>
      <c r="Q82" s="20" t="str">
        <f>image("https://pokejungle.net/sprites/shiny/"&amp;P78&amp;".png")</f>
        <v/>
      </c>
      <c r="R82" s="33"/>
    </row>
    <row r="83" ht="26.25" customHeight="1">
      <c r="A83" s="15"/>
      <c r="B83" s="38" t="str">
        <f>image("https://i.imgur.com/0ArMZjJ.png")</f>
        <v/>
      </c>
      <c r="C83" s="36"/>
      <c r="D83" s="46" t="str">
        <f>image("https://i.imgur.com/0ArMZjJ.png")</f>
        <v/>
      </c>
      <c r="E83" s="36"/>
      <c r="F83" s="35" t="str">
        <f>image("https://i.imgur.com/JOd7Boe.png")</f>
        <v/>
      </c>
      <c r="G83" s="36"/>
      <c r="H83" s="46" t="str">
        <f>image("https://i.imgur.com/JOd7Boe.png")</f>
        <v/>
      </c>
      <c r="I83" s="36"/>
      <c r="J83" s="38" t="str">
        <f>image("https://i.imgur.com/JOd7Boe.png")</f>
        <v/>
      </c>
      <c r="K83" s="36"/>
      <c r="L83" s="46"/>
      <c r="M83" s="36"/>
      <c r="N83" s="38"/>
      <c r="O83" s="36"/>
      <c r="P83" s="38"/>
      <c r="Q83" s="36"/>
      <c r="R83" s="33"/>
    </row>
    <row r="84" ht="26.25" customHeight="1">
      <c r="A84" s="15"/>
      <c r="B84" s="40"/>
      <c r="C84" s="41"/>
      <c r="D84" s="43" t="str">
        <f>image("https://i.imgur.com/rJhTvoD.png")</f>
        <v/>
      </c>
      <c r="E84" s="41"/>
      <c r="F84" s="40" t="str">
        <f>image("https://i.imgur.com/XI18XGu.png")</f>
        <v/>
      </c>
      <c r="G84" s="41"/>
      <c r="H84" s="43" t="str">
        <f>image("https://i.imgur.com/XI18XGu.png")</f>
        <v/>
      </c>
      <c r="I84" s="41"/>
      <c r="J84" s="40" t="str">
        <f>image("https://i.imgur.com/XI18XGu.png")</f>
        <v/>
      </c>
      <c r="K84" s="41"/>
      <c r="L84" s="43"/>
      <c r="M84" s="41"/>
      <c r="N84" s="40"/>
      <c r="O84" s="41"/>
      <c r="P84" s="40"/>
      <c r="Q84" s="41"/>
      <c r="R84" s="33"/>
    </row>
    <row r="85" ht="18.75" customHeight="1">
      <c r="A85" s="6"/>
      <c r="B85" s="8" t="s">
        <v>1870</v>
      </c>
      <c r="C85" s="10" t="s">
        <v>1871</v>
      </c>
      <c r="D85" s="8" t="s">
        <v>1872</v>
      </c>
      <c r="E85" s="10" t="s">
        <v>1873</v>
      </c>
      <c r="F85" s="8" t="s">
        <v>1875</v>
      </c>
      <c r="G85" s="10" t="s">
        <v>1877</v>
      </c>
      <c r="H85" s="8" t="s">
        <v>1879</v>
      </c>
      <c r="I85" s="10" t="s">
        <v>1881</v>
      </c>
      <c r="J85" s="8" t="s">
        <v>1883</v>
      </c>
      <c r="K85" s="10" t="s">
        <v>1885</v>
      </c>
      <c r="L85" s="8" t="s">
        <v>1888</v>
      </c>
      <c r="M85" s="10" t="s">
        <v>1890</v>
      </c>
      <c r="N85" s="8" t="s">
        <v>1888</v>
      </c>
      <c r="O85" s="68" t="s">
        <v>1893</v>
      </c>
      <c r="P85" s="8" t="s">
        <v>1888</v>
      </c>
      <c r="Q85" s="10" t="s">
        <v>1897</v>
      </c>
      <c r="R85" s="14"/>
    </row>
    <row r="86" ht="26.25" customHeight="1">
      <c r="A86" s="15"/>
      <c r="B86" s="16" t="str">
        <f>image("https://i.imgur.com/XNzvO0H.png")</f>
        <v/>
      </c>
      <c r="C86" s="20" t="str">
        <f>image("https://pokejungle.net/sprites/normal/"&amp;B85&amp;".png")</f>
        <v/>
      </c>
      <c r="D86" s="16" t="str">
        <f>image("https://i.imgur.com/XNzvO0H.png")</f>
        <v/>
      </c>
      <c r="E86" s="20" t="str">
        <f>image("https://pokejungle.net/sprites/normal/"&amp;D85&amp;".png")</f>
        <v/>
      </c>
      <c r="F86" s="16" t="str">
        <f>image("https://i.imgur.com/XNzvO0H.png")</f>
        <v/>
      </c>
      <c r="G86" s="20" t="str">
        <f>image("https://pokejungle.net/sprites/normal/"&amp;F85&amp;".png")</f>
        <v/>
      </c>
      <c r="H86" s="24" t="str">
        <f>image("https://i.imgur.com/XNzvO0H.png")</f>
        <v/>
      </c>
      <c r="I86" s="20" t="str">
        <f>image("https://pokejungle.net/sprites/normal/"&amp;H85&amp;".png")</f>
        <v/>
      </c>
      <c r="J86" s="16" t="str">
        <f>image("https://i.imgur.com/XNzvO0H.png")</f>
        <v/>
      </c>
      <c r="K86" s="20" t="str">
        <f>image("https://pokejungle.net/sprites/normal/"&amp;J85&amp;".png")</f>
        <v/>
      </c>
      <c r="L86" s="28" t="str">
        <f>image("https://i.imgur.com/rAI9Gyi.png")</f>
        <v/>
      </c>
      <c r="M86" s="20" t="str">
        <f>image("https://pokejungle.net/sprites/normal/"&amp;L85&amp;".png")</f>
        <v/>
      </c>
      <c r="N86" s="16" t="str">
        <f>image("https://i.imgur.com/XIu6jDl.png")</f>
        <v/>
      </c>
      <c r="O86" s="20" t="str">
        <f>image("https://pokejungle.net/sprites/normal/"&amp;N85&amp;"-1.png")</f>
        <v/>
      </c>
      <c r="P86" s="16" t="str">
        <f>image("https://i.imgur.com/RqSOGo6.png")</f>
        <v/>
      </c>
      <c r="Q86" s="20" t="str">
        <f>image("https://pokejungle.net/sprites/normal/"&amp;P85&amp;"-2.png")</f>
        <v/>
      </c>
      <c r="R86" s="33"/>
    </row>
    <row r="87" ht="26.25" customHeight="1">
      <c r="A87" s="15"/>
      <c r="B87" s="38" t="str">
        <f>image("https://i.imgur.com/zpybKax.png")</f>
        <v/>
      </c>
      <c r="C87" s="36"/>
      <c r="D87" s="35"/>
      <c r="E87" s="36"/>
      <c r="F87" s="35"/>
      <c r="G87" s="36"/>
      <c r="H87" s="37"/>
      <c r="I87" s="36"/>
      <c r="J87" s="38"/>
      <c r="K87" s="36"/>
      <c r="L87" s="35" t="str">
        <f>image("https://i.imgur.com/a9HBljD.png")</f>
        <v/>
      </c>
      <c r="M87" s="36"/>
      <c r="N87" s="38" t="str">
        <f>image("https://i.imgur.com/VQL4lPa.png")</f>
        <v/>
      </c>
      <c r="O87" s="36"/>
      <c r="P87" s="38" t="str">
        <f>image("https://i.imgur.com/lKAfx6k.png")</f>
        <v/>
      </c>
      <c r="Q87" s="36"/>
      <c r="R87" s="33"/>
    </row>
    <row r="88" ht="26.25" customHeight="1">
      <c r="A88" s="15"/>
      <c r="B88" s="40"/>
      <c r="C88" s="41"/>
      <c r="D88" s="40"/>
      <c r="E88" s="41"/>
      <c r="F88" s="40"/>
      <c r="G88" s="41"/>
      <c r="H88" s="40"/>
      <c r="I88" s="41"/>
      <c r="J88" s="40"/>
      <c r="K88" s="41"/>
      <c r="L88" s="43"/>
      <c r="M88" s="41"/>
      <c r="N88" s="40"/>
      <c r="O88" s="41"/>
      <c r="P88" s="40"/>
      <c r="Q88" s="41"/>
      <c r="R88" s="33"/>
    </row>
    <row r="89" ht="26.25" customHeight="1">
      <c r="A89" s="15"/>
      <c r="B89" s="16" t="str">
        <f>image("https://i.imgur.com/rAI9Gyi.png")</f>
        <v/>
      </c>
      <c r="C89" s="20" t="str">
        <f>image("https://pokejungle.net/sprites/shiny/"&amp;B85&amp;".png")</f>
        <v/>
      </c>
      <c r="D89" s="16" t="str">
        <f>image("https://i.imgur.com/a9HBljD.png")</f>
        <v/>
      </c>
      <c r="E89" s="20" t="str">
        <f>image("https://pokejungle.net/sprites/shiny/"&amp;D85&amp;".png")</f>
        <v/>
      </c>
      <c r="F89" s="16" t="str">
        <f>image("https://i.imgur.com/0ArMZjJ.png")</f>
        <v/>
      </c>
      <c r="G89" s="20" t="str">
        <f>image("https://pokejungle.net/sprites/shiny/"&amp;F85&amp;".png")</f>
        <v/>
      </c>
      <c r="H89" s="16" t="str">
        <f>image("https://i.imgur.com/XNzvO0H.png")</f>
        <v/>
      </c>
      <c r="I89" s="20" t="str">
        <f>image("https://pokejungle.net/sprites/shiny/"&amp;H85&amp;".png")</f>
        <v/>
      </c>
      <c r="J89" s="16" t="str">
        <f>image("https://i.imgur.com/XNzvO0H.png")</f>
        <v/>
      </c>
      <c r="K89" s="20" t="str">
        <f>image("https://pokejungle.net/sprites/shiny/"&amp;J85&amp;".png")</f>
        <v/>
      </c>
      <c r="L89" s="16" t="str">
        <f>image("https://i.imgur.com/rAI9Gyi.png")</f>
        <v/>
      </c>
      <c r="M89" s="20" t="str">
        <f>image("https://pokejungle.net/sprites/shiny/"&amp;L85&amp;".png")</f>
        <v/>
      </c>
      <c r="N89" s="16" t="str">
        <f>image("https://i.imgur.com/XIu6jDl.png")</f>
        <v/>
      </c>
      <c r="O89" s="20" t="str">
        <f>image("https://pokejungle.net/sprites/shiny/"&amp;N85&amp;"-1.png")</f>
        <v/>
      </c>
      <c r="P89" s="16" t="str">
        <f>image("https://i.imgur.com/RqSOGo6.png")</f>
        <v/>
      </c>
      <c r="Q89" s="20" t="str">
        <f>image("https://pokejungle.net/sprites/shiny/"&amp;P85&amp;"-2.png")</f>
        <v/>
      </c>
      <c r="R89" s="33"/>
    </row>
    <row r="90" ht="26.25" customHeight="1">
      <c r="A90" s="15"/>
      <c r="B90" s="38" t="str">
        <f>image("https://i.imgur.com/XI18XGu.png")</f>
        <v/>
      </c>
      <c r="C90" s="36"/>
      <c r="D90" s="46" t="str">
        <f>image("https://i.imgur.com/XNzvO0H.png")</f>
        <v/>
      </c>
      <c r="E90" s="36"/>
      <c r="F90" s="35" t="str">
        <f>image("https://i.imgur.com/XNzvO0H.png")</f>
        <v/>
      </c>
      <c r="G90" s="36"/>
      <c r="H90" s="46"/>
      <c r="I90" s="36"/>
      <c r="J90" s="38"/>
      <c r="K90" s="36"/>
      <c r="L90" s="46" t="str">
        <f>image("https://i.imgur.com/a9HBljD.png")</f>
        <v/>
      </c>
      <c r="M90" s="36"/>
      <c r="N90" s="38" t="str">
        <f>image("https://i.imgur.com/VQL4lPa.png")</f>
        <v/>
      </c>
      <c r="O90" s="36"/>
      <c r="P90" s="38" t="str">
        <f>image("https://i.imgur.com/lKAfx6k.png")</f>
        <v/>
      </c>
      <c r="Q90" s="36"/>
      <c r="R90" s="33"/>
    </row>
    <row r="91" ht="26.25" customHeight="1">
      <c r="A91" s="15"/>
      <c r="B91" s="40"/>
      <c r="C91" s="41"/>
      <c r="D91" s="43" t="str">
        <f>image("https://i.imgur.com/XI18XGu.png")</f>
        <v/>
      </c>
      <c r="E91" s="41"/>
      <c r="F91" s="40"/>
      <c r="G91" s="41"/>
      <c r="H91" s="43"/>
      <c r="I91" s="41"/>
      <c r="J91" s="40"/>
      <c r="K91" s="41"/>
      <c r="L91" s="43"/>
      <c r="M91" s="41"/>
      <c r="N91" s="40"/>
      <c r="O91" s="41"/>
      <c r="P91" s="40"/>
      <c r="Q91" s="41"/>
      <c r="R91" s="33"/>
    </row>
    <row r="92" ht="18.75" customHeight="1">
      <c r="A92" s="6"/>
      <c r="B92" s="8" t="s">
        <v>1888</v>
      </c>
      <c r="C92" s="10" t="s">
        <v>1936</v>
      </c>
      <c r="D92" s="8" t="s">
        <v>1938</v>
      </c>
      <c r="E92" s="10" t="s">
        <v>1940</v>
      </c>
      <c r="F92" s="8" t="s">
        <v>1938</v>
      </c>
      <c r="G92" s="68" t="s">
        <v>1944</v>
      </c>
      <c r="H92" s="8" t="s">
        <v>1938</v>
      </c>
      <c r="I92" s="68" t="s">
        <v>1947</v>
      </c>
      <c r="J92" s="8" t="s">
        <v>1938</v>
      </c>
      <c r="K92" s="68" t="s">
        <v>1950</v>
      </c>
      <c r="L92" s="8" t="s">
        <v>1951</v>
      </c>
      <c r="M92" s="10" t="s">
        <v>1952</v>
      </c>
      <c r="N92" s="8" t="s">
        <v>1953</v>
      </c>
      <c r="O92" s="10" t="s">
        <v>1954</v>
      </c>
      <c r="P92" s="8" t="s">
        <v>1955</v>
      </c>
      <c r="Q92" s="10" t="s">
        <v>1956</v>
      </c>
      <c r="R92" s="14"/>
    </row>
    <row r="93" ht="26.25" customHeight="1">
      <c r="A93" s="15"/>
      <c r="B93" s="16" t="str">
        <f>image("https://i.imgur.com/EkqYYOB.png")</f>
        <v/>
      </c>
      <c r="C93" s="20" t="str">
        <f>image("https://pokejungle.net/sprites/normal/"&amp;B92&amp;"-3.png")</f>
        <v/>
      </c>
      <c r="D93" s="16" t="str">
        <f>image("https://i.imgur.com/rAI9Gyi.png")</f>
        <v/>
      </c>
      <c r="E93" s="20" t="str">
        <f>image("https://pokejungle.net/sprites/normal/"&amp;D92&amp;".png")</f>
        <v/>
      </c>
      <c r="F93" s="16" t="str">
        <f>image("https://i.imgur.com/XIu6jDl.png")</f>
        <v/>
      </c>
      <c r="G93" s="20" t="str">
        <f>image("https://pokejungle.net/sprites/normal/"&amp;F92&amp;"-1.png")</f>
        <v/>
      </c>
      <c r="H93" s="24" t="str">
        <f>image("https://i.imgur.com/JOd7Boe.png")</f>
        <v/>
      </c>
      <c r="I93" s="20" t="str">
        <f>image("https://pokejungle.net/sprites/normal/"&amp;H92&amp;"-2.png")</f>
        <v/>
      </c>
      <c r="J93" s="16" t="str">
        <f>image("https://i.imgur.com/0ArMZjJ.png")</f>
        <v/>
      </c>
      <c r="K93" s="20" t="str">
        <f>image("https://pokejungle.net/sprites/normal/"&amp;J92&amp;"-3.png")</f>
        <v/>
      </c>
      <c r="L93" s="28" t="str">
        <f>image("https://i.imgur.com/beHgI95.png")</f>
        <v/>
      </c>
      <c r="M93" s="20" t="str">
        <f>image("https://pokejungle.net/sprites/normal/"&amp;L92&amp;".png")</f>
        <v/>
      </c>
      <c r="N93" s="16" t="str">
        <f>image("https://i.imgur.com/JDgAgAO.png")</f>
        <v/>
      </c>
      <c r="O93" s="20" t="str">
        <f>image("https://pokejungle.net/sprites/normal/"&amp;N92&amp;".png")</f>
        <v/>
      </c>
      <c r="P93" s="16" t="str">
        <f>image("https://i.imgur.com/JOd7Boe.png")</f>
        <v/>
      </c>
      <c r="Q93" s="20" t="str">
        <f>image("https://pokejungle.net/sprites/normal/"&amp;P92&amp;".png")</f>
        <v/>
      </c>
      <c r="R93" s="33"/>
    </row>
    <row r="94" ht="26.25" customHeight="1">
      <c r="A94" s="15"/>
      <c r="B94" s="38" t="str">
        <f>image("https://i.imgur.com/XIu6jDl.png")</f>
        <v/>
      </c>
      <c r="C94" s="36"/>
      <c r="D94" s="35" t="str">
        <f>image("https://i.imgur.com/a9HBljD.png")</f>
        <v/>
      </c>
      <c r="E94" s="36"/>
      <c r="F94" s="35" t="str">
        <f>image("https://i.imgur.com/VQL4lPa.png")</f>
        <v/>
      </c>
      <c r="G94" s="36"/>
      <c r="H94" s="37" t="str">
        <f>image("https://i.imgur.com/bxys1sd.png")</f>
        <v/>
      </c>
      <c r="I94" s="36"/>
      <c r="J94" s="38" t="str">
        <f>image("https://i.imgur.com/XNzvO0H.png")</f>
        <v/>
      </c>
      <c r="K94" s="36"/>
      <c r="L94" s="35" t="str">
        <f>image("https://i.imgur.com/rJhTvoD.png")</f>
        <v/>
      </c>
      <c r="M94" s="36"/>
      <c r="N94" s="38" t="str">
        <f>image("https://i.imgur.com/zpybKax.png")</f>
        <v/>
      </c>
      <c r="O94" s="36"/>
      <c r="P94" s="38" t="str">
        <f>image("https://i.imgur.com/bxys1sd.png")</f>
        <v/>
      </c>
      <c r="Q94" s="36"/>
      <c r="R94" s="33"/>
    </row>
    <row r="95" ht="26.25" customHeight="1">
      <c r="A95" s="15"/>
      <c r="B95" s="40"/>
      <c r="C95" s="41"/>
      <c r="D95" s="40"/>
      <c r="E95" s="41"/>
      <c r="F95" s="40"/>
      <c r="G95" s="41"/>
      <c r="H95" s="40"/>
      <c r="I95" s="41"/>
      <c r="J95" s="40"/>
      <c r="K95" s="41"/>
      <c r="L95" s="43"/>
      <c r="M95" s="41"/>
      <c r="N95" s="40" t="str">
        <f>image("https://i.imgur.com/XzidFHI.png")</f>
        <v/>
      </c>
      <c r="O95" s="41"/>
      <c r="P95" s="40" t="str">
        <f>image("https://i.imgur.com/GyNf8BH.png")</f>
        <v/>
      </c>
      <c r="Q95" s="41"/>
      <c r="R95" s="33"/>
    </row>
    <row r="96" ht="26.25" customHeight="1">
      <c r="A96" s="15"/>
      <c r="B96" s="16" t="str">
        <f>image("https://i.imgur.com/EkqYYOB.png")</f>
        <v/>
      </c>
      <c r="C96" s="20" t="str">
        <f>image("https://pokejungle.net/sprites/shiny/"&amp;B92&amp;"-3.png")</f>
        <v/>
      </c>
      <c r="D96" s="16" t="str">
        <f>image("https://i.imgur.com/rAI9Gyi.png")</f>
        <v/>
      </c>
      <c r="E96" s="20" t="str">
        <f>image("https://pokejungle.net/sprites/shiny/"&amp;D92&amp;".png")</f>
        <v/>
      </c>
      <c r="F96" s="16" t="str">
        <f>image("https://i.imgur.com/XIu6jDl.png")</f>
        <v/>
      </c>
      <c r="G96" s="20" t="str">
        <f>image("https://pokejungle.net/sprites/shiny/"&amp;F92&amp;"-1.png")</f>
        <v/>
      </c>
      <c r="H96" s="16" t="str">
        <f>image("https://i.imgur.com/JOd7Boe.png")</f>
        <v/>
      </c>
      <c r="I96" s="20" t="str">
        <f>image("https://pokejungle.net/sprites/shiny/"&amp;H92&amp;"-2.png")</f>
        <v/>
      </c>
      <c r="J96" s="16" t="str">
        <f>image("https://i.imgur.com/0ArMZjJ.png")</f>
        <v/>
      </c>
      <c r="K96" s="20" t="str">
        <f>image("https://pokejungle.net/sprites/shiny/"&amp;J92&amp;"-3.png")</f>
        <v/>
      </c>
      <c r="L96" s="16" t="str">
        <f>image("https://i.imgur.com/0ArMZjJ.png")</f>
        <v/>
      </c>
      <c r="M96" s="20" t="str">
        <f>image("https://pokejungle.net/sprites/shiny/"&amp;L92&amp;".png")</f>
        <v/>
      </c>
      <c r="N96" s="16" t="str">
        <f>image("https://i.imgur.com/JDgAgAO.png")</f>
        <v/>
      </c>
      <c r="O96" s="20" t="str">
        <f>image("https://pokejungle.net/sprites/shiny/"&amp;N92&amp;".png")</f>
        <v/>
      </c>
      <c r="P96" s="16" t="str">
        <f>image("https://i.imgur.com/a9HBljD.png")</f>
        <v/>
      </c>
      <c r="Q96" s="20" t="str">
        <f>image("https://pokejungle.net/sprites/shiny/"&amp;P92&amp;".png")</f>
        <v/>
      </c>
      <c r="R96" s="33"/>
    </row>
    <row r="97" ht="26.25" customHeight="1">
      <c r="A97" s="15"/>
      <c r="B97" s="38" t="str">
        <f>image("https://i.imgur.com/XIu6jDl.png")</f>
        <v/>
      </c>
      <c r="C97" s="36"/>
      <c r="D97" s="46" t="str">
        <f>image("https://i.imgur.com/a9HBljD.png")</f>
        <v/>
      </c>
      <c r="E97" s="36"/>
      <c r="F97" s="35" t="str">
        <f>image("https://i.imgur.com/VQL4lPa.png")</f>
        <v/>
      </c>
      <c r="G97" s="36"/>
      <c r="H97" s="46" t="str">
        <f>image("https://i.imgur.com/bxys1sd.png")</f>
        <v/>
      </c>
      <c r="I97" s="36"/>
      <c r="J97" s="38" t="str">
        <f>image("https://i.imgur.com/XNzvO0H.png")</f>
        <v/>
      </c>
      <c r="K97" s="36"/>
      <c r="L97" s="46" t="str">
        <f>image("https://i.imgur.com/beHgI95.png")</f>
        <v/>
      </c>
      <c r="M97" s="36"/>
      <c r="N97" s="38" t="str">
        <f>image("https://i.imgur.com/zpybKax.png")</f>
        <v/>
      </c>
      <c r="O97" s="36"/>
      <c r="P97" s="38" t="str">
        <f>image("https://i.imgur.com/rAI9Gyi.png")</f>
        <v/>
      </c>
      <c r="Q97" s="36"/>
      <c r="R97" s="33"/>
    </row>
    <row r="98" ht="26.25" customHeight="1">
      <c r="A98" s="15"/>
      <c r="B98" s="40"/>
      <c r="C98" s="41"/>
      <c r="D98" s="43"/>
      <c r="E98" s="41"/>
      <c r="F98" s="40"/>
      <c r="G98" s="41"/>
      <c r="H98" s="43"/>
      <c r="I98" s="41"/>
      <c r="J98" s="40"/>
      <c r="K98" s="41"/>
      <c r="L98" s="43" t="str">
        <f>image("https://i.imgur.com/EkqYYOB.png")</f>
        <v/>
      </c>
      <c r="M98" s="41"/>
      <c r="N98" s="40" t="str">
        <f>image("https://i.imgur.com/XzidFHI.png")</f>
        <v/>
      </c>
      <c r="O98" s="41"/>
      <c r="P98" s="40"/>
      <c r="Q98" s="41"/>
      <c r="R98" s="33"/>
    </row>
    <row r="99" ht="18.75" customHeight="1">
      <c r="A99" s="6"/>
      <c r="B99" s="8" t="s">
        <v>2002</v>
      </c>
      <c r="C99" s="10" t="s">
        <v>2003</v>
      </c>
      <c r="D99" s="8" t="s">
        <v>2004</v>
      </c>
      <c r="E99" s="10" t="s">
        <v>2005</v>
      </c>
      <c r="F99" s="8" t="s">
        <v>2006</v>
      </c>
      <c r="G99" s="10" t="s">
        <v>2007</v>
      </c>
      <c r="H99" s="8" t="s">
        <v>2006</v>
      </c>
      <c r="I99" s="10" t="s">
        <v>2008</v>
      </c>
      <c r="J99" s="8" t="s">
        <v>2009</v>
      </c>
      <c r="K99" s="10" t="s">
        <v>2010</v>
      </c>
      <c r="L99" s="8" t="s">
        <v>2009</v>
      </c>
      <c r="M99" s="10" t="s">
        <v>2011</v>
      </c>
      <c r="N99" s="8" t="s">
        <v>2012</v>
      </c>
      <c r="O99" s="10" t="s">
        <v>2013</v>
      </c>
      <c r="P99" s="8" t="s">
        <v>2014</v>
      </c>
      <c r="Q99" s="10" t="s">
        <v>2015</v>
      </c>
      <c r="R99" s="14"/>
    </row>
    <row r="100" ht="26.25" customHeight="1">
      <c r="A100" s="15"/>
      <c r="B100" s="16" t="str">
        <f>image("https://i.imgur.com/bxys1sd.png")</f>
        <v/>
      </c>
      <c r="C100" s="20" t="str">
        <f>image("https://pokejungle.net/sprites/normal/"&amp;B99&amp;".png")</f>
        <v/>
      </c>
      <c r="D100" s="16" t="str">
        <f>image("https://i.imgur.com/bxys1sd.png")</f>
        <v/>
      </c>
      <c r="E100" s="20" t="str">
        <f>image("https://pokejungle.net/sprites/normal/"&amp;D99&amp;".png")</f>
        <v/>
      </c>
      <c r="F100" s="16" t="str">
        <f>image("https://i.imgur.com/XNzvO0H.png")</f>
        <v/>
      </c>
      <c r="G100" s="20" t="str">
        <f>image("https://pokejungle.net/sprites/normal/"&amp;F99&amp;".png")</f>
        <v/>
      </c>
      <c r="H100" s="24" t="str">
        <f>image("https://i.imgur.com/a9HBljD.png")</f>
        <v/>
      </c>
      <c r="I100" s="20" t="str">
        <f>image("https://pokejungle.net/sprites/normal/"&amp;H99&amp;"-f.png")</f>
        <v/>
      </c>
      <c r="J100" s="16" t="str">
        <f>image("https://i.imgur.com/XNzvO0H.png")</f>
        <v/>
      </c>
      <c r="K100" s="20" t="str">
        <f>image("https://pokejungle.net/sprites/normal/"&amp;J99&amp;".png")</f>
        <v/>
      </c>
      <c r="L100" s="28" t="str">
        <f>image("https://i.imgur.com/a9HBljD.png")</f>
        <v/>
      </c>
      <c r="M100" s="20" t="str">
        <f>image("https://pokejungle.net/sprites/normal/"&amp;L99&amp;"-f.png")</f>
        <v/>
      </c>
      <c r="N100" s="16" t="str">
        <f>image("https://i.imgur.com/a9HBljD.png")</f>
        <v/>
      </c>
      <c r="O100" s="20" t="str">
        <f>image("https://pokejungle.net/sprites/normal/"&amp;N99&amp;".png")</f>
        <v/>
      </c>
      <c r="P100" s="16" t="str">
        <f>image("https://i.imgur.com/zpybKax.png")</f>
        <v/>
      </c>
      <c r="Q100" s="20" t="str">
        <f>image("https://pokejungle.net/sprites/normal/"&amp;P99&amp;".png")</f>
        <v/>
      </c>
      <c r="R100" s="33"/>
    </row>
    <row r="101" ht="26.25" customHeight="1">
      <c r="A101" s="15"/>
      <c r="B101" s="38"/>
      <c r="C101" s="36"/>
      <c r="D101" s="35"/>
      <c r="E101" s="36"/>
      <c r="F101" s="35"/>
      <c r="G101" s="36"/>
      <c r="H101" s="37" t="str">
        <f>image("https://i.imgur.com/XI18XGu.png")</f>
        <v/>
      </c>
      <c r="I101" s="36"/>
      <c r="J101" s="38"/>
      <c r="K101" s="36"/>
      <c r="L101" s="35" t="str">
        <f>image("https://i.imgur.com/XI18XGu.png")</f>
        <v/>
      </c>
      <c r="M101" s="36"/>
      <c r="N101" s="38" t="str">
        <f>image("https://i.imgur.com/rAI9Gyi.png")</f>
        <v/>
      </c>
      <c r="O101" s="36"/>
      <c r="P101" s="38" t="str">
        <f>image("https://i.imgur.com/XzidFHI.png")</f>
        <v/>
      </c>
      <c r="Q101" s="36"/>
      <c r="R101" s="33"/>
    </row>
    <row r="102" ht="26.25" customHeight="1">
      <c r="A102" s="15"/>
      <c r="B102" s="40"/>
      <c r="C102" s="41"/>
      <c r="D102" s="40"/>
      <c r="E102" s="41"/>
      <c r="F102" s="40"/>
      <c r="G102" s="41"/>
      <c r="H102" s="40" t="str">
        <f>image("https://i.imgur.com/rAI9Gyi.png")</f>
        <v/>
      </c>
      <c r="I102" s="41"/>
      <c r="J102" s="40"/>
      <c r="K102" s="41"/>
      <c r="L102" s="43" t="str">
        <f>image("https://i.imgur.com/rAI9Gyi.png")</f>
        <v/>
      </c>
      <c r="M102" s="41"/>
      <c r="N102" s="40"/>
      <c r="O102" s="41"/>
      <c r="P102" s="40"/>
      <c r="Q102" s="41"/>
      <c r="R102" s="33"/>
    </row>
    <row r="103" ht="26.25" customHeight="1">
      <c r="A103" s="15"/>
      <c r="B103" s="16" t="str">
        <f>image("https://i.imgur.com/SF5CZ6U.png")</f>
        <v/>
      </c>
      <c r="C103" s="20" t="str">
        <f>image("https://pokejungle.net/sprites/shiny/"&amp;B99&amp;".png")</f>
        <v/>
      </c>
      <c r="D103" s="16" t="str">
        <f>image("https://i.imgur.com/SF5CZ6U.png")</f>
        <v/>
      </c>
      <c r="E103" s="20" t="str">
        <f>image("https://pokejungle.net/sprites/shiny/"&amp;D99&amp;".png")</f>
        <v/>
      </c>
      <c r="F103" s="16" t="str">
        <f>image("https://i.imgur.com/XNzvO0H.png")</f>
        <v/>
      </c>
      <c r="G103" s="20" t="str">
        <f>image("https://pokejungle.net/sprites/shiny/"&amp;F99&amp;".png")</f>
        <v/>
      </c>
      <c r="H103" s="16" t="str">
        <f>image("https://i.imgur.com/a9HBljD.png")</f>
        <v/>
      </c>
      <c r="I103" s="20" t="str">
        <f>image("https://pokejungle.net/sprites/shiny/"&amp;H99&amp;"-f.png")</f>
        <v/>
      </c>
      <c r="J103" s="16" t="str">
        <f>image("https://i.imgur.com/XNzvO0H.png")</f>
        <v/>
      </c>
      <c r="K103" s="20" t="str">
        <f>image("https://pokejungle.net/sprites/shiny/"&amp;J99&amp;".png")</f>
        <v/>
      </c>
      <c r="L103" s="16" t="str">
        <f>image("https://i.imgur.com/a9HBljD.png")</f>
        <v/>
      </c>
      <c r="M103" s="20" t="str">
        <f>image("https://pokejungle.net/sprites/shiny/"&amp;L99&amp;"-f.png")</f>
        <v/>
      </c>
      <c r="N103" s="16" t="str">
        <f>image("https://i.imgur.com/a9HBljD.png")</f>
        <v/>
      </c>
      <c r="O103" s="20" t="str">
        <f>image("https://pokejungle.net/sprites/shiny/"&amp;N99&amp;".png")</f>
        <v/>
      </c>
      <c r="P103" s="16" t="str">
        <f>image("https://i.imgur.com/zpybKax.png")</f>
        <v/>
      </c>
      <c r="Q103" s="20" t="str">
        <f>image("https://pokejungle.net/sprites/shiny/"&amp;P99&amp;".png")</f>
        <v/>
      </c>
      <c r="R103" s="33"/>
    </row>
    <row r="104" ht="26.25" customHeight="1">
      <c r="A104" s="15"/>
      <c r="B104" s="38" t="str">
        <f>image("https://i.imgur.com/nNTmuH8.png")</f>
        <v/>
      </c>
      <c r="C104" s="36"/>
      <c r="D104" s="46" t="str">
        <f>image("https://i.imgur.com/nNTmuH8.png")</f>
        <v/>
      </c>
      <c r="E104" s="36"/>
      <c r="F104" s="35" t="str">
        <f>image("https://i.imgur.com/VQL4lPa.png")</f>
        <v/>
      </c>
      <c r="G104" s="36"/>
      <c r="H104" s="46" t="str">
        <f>image("https://i.imgur.com/XI18XGu.png")</f>
        <v/>
      </c>
      <c r="I104" s="36"/>
      <c r="J104" s="38" t="str">
        <f>image("https://i.imgur.com/VQL4lPa.png")</f>
        <v/>
      </c>
      <c r="K104" s="36"/>
      <c r="L104" s="46" t="str">
        <f>image("https://i.imgur.com/XI18XGu.png")</f>
        <v/>
      </c>
      <c r="M104" s="36"/>
      <c r="N104" s="38" t="str">
        <f>image("https://i.imgur.com/rAI9Gyi.png")</f>
        <v/>
      </c>
      <c r="O104" s="36"/>
      <c r="P104" s="38" t="str">
        <f>image("https://i.imgur.com/XzidFHI.png")</f>
        <v/>
      </c>
      <c r="Q104" s="36"/>
      <c r="R104" s="33"/>
    </row>
    <row r="105" ht="26.25" customHeight="1">
      <c r="A105" s="15"/>
      <c r="B105" s="40"/>
      <c r="C105" s="41"/>
      <c r="D105" s="43"/>
      <c r="E105" s="41"/>
      <c r="F105" s="40"/>
      <c r="G105" s="41"/>
      <c r="H105" s="43" t="str">
        <f>image("https://i.imgur.com/rAI9Gyi.png")</f>
        <v/>
      </c>
      <c r="I105" s="41"/>
      <c r="J105" s="40"/>
      <c r="K105" s="41"/>
      <c r="L105" s="43" t="str">
        <f>image("https://i.imgur.com/rAI9Gyi.png")</f>
        <v/>
      </c>
      <c r="M105" s="41"/>
      <c r="N105" s="40" t="str">
        <f>image("https://i.imgur.com/XI18XGu.png")</f>
        <v/>
      </c>
      <c r="O105" s="41"/>
      <c r="P105" s="40" t="str">
        <f>image("https://i.imgur.com/beHgI95.png")</f>
        <v/>
      </c>
      <c r="Q105" s="41"/>
      <c r="R105" s="33"/>
    </row>
    <row r="106" ht="18.75" customHeight="1">
      <c r="A106" s="6"/>
      <c r="B106" s="8" t="s">
        <v>2050</v>
      </c>
      <c r="C106" s="10" t="s">
        <v>2051</v>
      </c>
      <c r="D106" s="8" t="s">
        <v>2052</v>
      </c>
      <c r="E106" s="10" t="s">
        <v>2053</v>
      </c>
      <c r="F106" s="8" t="s">
        <v>2054</v>
      </c>
      <c r="G106" s="10" t="s">
        <v>2055</v>
      </c>
      <c r="H106" s="8" t="s">
        <v>2056</v>
      </c>
      <c r="I106" s="10" t="s">
        <v>2057</v>
      </c>
      <c r="J106" s="8" t="s">
        <v>2058</v>
      </c>
      <c r="K106" s="10" t="s">
        <v>2059</v>
      </c>
      <c r="L106" s="8" t="s">
        <v>2060</v>
      </c>
      <c r="M106" s="10" t="s">
        <v>2061</v>
      </c>
      <c r="N106" s="8" t="s">
        <v>2062</v>
      </c>
      <c r="O106" s="10" t="s">
        <v>2063</v>
      </c>
      <c r="P106" s="8" t="s">
        <v>2064</v>
      </c>
      <c r="Q106" s="10" t="s">
        <v>2065</v>
      </c>
      <c r="R106" s="14"/>
    </row>
    <row r="107" ht="26.25" customHeight="1">
      <c r="A107" s="15"/>
      <c r="B107" s="16" t="str">
        <f>image("https://i.imgur.com/zpybKax.png")</f>
        <v/>
      </c>
      <c r="C107" s="20" t="str">
        <f>image("https://pokejungle.net/sprites/normal/"&amp;B106&amp;".png")</f>
        <v/>
      </c>
      <c r="D107" s="16" t="str">
        <f>image("https://i.imgur.com/VQL4lPa.png")</f>
        <v/>
      </c>
      <c r="E107" s="20" t="str">
        <f>image("https://pokejungle.net/sprites/normal/"&amp;D106&amp;".png")</f>
        <v/>
      </c>
      <c r="F107" s="16" t="str">
        <f>image("https://i.imgur.com/VQL4lPa.png")</f>
        <v/>
      </c>
      <c r="G107" s="20" t="str">
        <f>image("https://pokejungle.net/sprites/normal/"&amp;F106&amp;".png")</f>
        <v/>
      </c>
      <c r="H107" s="24" t="str">
        <f>image("https://i.imgur.com/NkILW1J.png")</f>
        <v/>
      </c>
      <c r="I107" s="20" t="str">
        <f>image("https://pokejungle.net/sprites/normal/"&amp;H106&amp;".png")</f>
        <v/>
      </c>
      <c r="J107" s="16" t="str">
        <f>image("https://i.imgur.com/NkILW1J.png")</f>
        <v/>
      </c>
      <c r="K107" s="20" t="str">
        <f>image("https://pokejungle.net/sprites/normal/"&amp;J106&amp;".png")</f>
        <v/>
      </c>
      <c r="L107" s="28" t="str">
        <f>image("https://i.imgur.com/NkILW1J.png")</f>
        <v/>
      </c>
      <c r="M107" s="20" t="str">
        <f>image("https://pokejungle.net/sprites/normal/"&amp;L106&amp;".png")</f>
        <v/>
      </c>
      <c r="N107" s="16" t="str">
        <f>image("https://i.imgur.com/0ArMZjJ.png")</f>
        <v/>
      </c>
      <c r="O107" s="20" t="str">
        <f>image("https://pokejungle.net/sprites/normal/"&amp;N106&amp;".png")</f>
        <v/>
      </c>
      <c r="P107" s="16" t="str">
        <f>image("https://i.imgur.com/zpybKax.png")</f>
        <v/>
      </c>
      <c r="Q107" s="20" t="str">
        <f>image("https://pokejungle.net/sprites/normal/"&amp;P106&amp;".png")</f>
        <v/>
      </c>
      <c r="R107" s="33"/>
    </row>
    <row r="108" ht="26.25" customHeight="1">
      <c r="A108" s="15"/>
      <c r="B108" s="38" t="str">
        <f>image("https://i.imgur.com/XzidFHI.png")</f>
        <v/>
      </c>
      <c r="C108" s="36"/>
      <c r="D108" s="35" t="str">
        <f>image("https://i.imgur.com/XIu6jDl.png")</f>
        <v/>
      </c>
      <c r="E108" s="36"/>
      <c r="F108" s="35" t="str">
        <f>image("https://i.imgur.com/XIu6jDl.png")</f>
        <v/>
      </c>
      <c r="G108" s="36"/>
      <c r="H108" s="37" t="str">
        <f>image("https://i.imgur.com/XzidFHI.png")</f>
        <v/>
      </c>
      <c r="I108" s="36"/>
      <c r="J108" s="38" t="str">
        <f>image("https://i.imgur.com/XzidFHI.png")</f>
        <v/>
      </c>
      <c r="K108" s="36"/>
      <c r="L108" s="35" t="str">
        <f>image("https://i.imgur.com/XzidFHI.png")</f>
        <v/>
      </c>
      <c r="M108" s="36"/>
      <c r="N108" s="38"/>
      <c r="O108" s="36"/>
      <c r="P108" s="38" t="str">
        <f>image("https://i.imgur.com/JDgAgAO.png")</f>
        <v/>
      </c>
      <c r="Q108" s="36"/>
      <c r="R108" s="33"/>
    </row>
    <row r="109" ht="26.25" customHeight="1">
      <c r="A109" s="15"/>
      <c r="B109" s="40"/>
      <c r="C109" s="41"/>
      <c r="D109" s="40"/>
      <c r="E109" s="41"/>
      <c r="F109" s="40"/>
      <c r="G109" s="41"/>
      <c r="H109" s="40"/>
      <c r="I109" s="41"/>
      <c r="J109" s="40"/>
      <c r="K109" s="41"/>
      <c r="L109" s="43"/>
      <c r="M109" s="41"/>
      <c r="N109" s="40"/>
      <c r="O109" s="41"/>
      <c r="P109" s="40" t="str">
        <f>image("https://i.imgur.com/ef1o2lD.png")</f>
        <v/>
      </c>
      <c r="Q109" s="41"/>
      <c r="R109" s="33"/>
    </row>
    <row r="110" ht="26.25" customHeight="1">
      <c r="A110" s="15"/>
      <c r="B110" s="16" t="str">
        <f>image("https://i.imgur.com/zpybKax.png")</f>
        <v/>
      </c>
      <c r="C110" s="20" t="str">
        <f>image("https://pokejungle.net/sprites/shiny/"&amp;B106&amp;".png")</f>
        <v/>
      </c>
      <c r="D110" s="16" t="str">
        <f>image("https://i.imgur.com/NkILW1J.png")</f>
        <v/>
      </c>
      <c r="E110" s="20" t="str">
        <f>image("https://pokejungle.net/sprites/shiny/"&amp;D106&amp;".png")</f>
        <v/>
      </c>
      <c r="F110" s="16" t="str">
        <f>image("https://i.imgur.com/rJhTvoD.png")</f>
        <v/>
      </c>
      <c r="G110" s="20" t="str">
        <f>image("https://pokejungle.net/sprites/shiny/"&amp;F106&amp;".png")</f>
        <v/>
      </c>
      <c r="H110" s="16" t="str">
        <f>image("https://i.imgur.com/XIu6jDl.png")</f>
        <v/>
      </c>
      <c r="I110" s="20" t="str">
        <f>image("https://pokejungle.net/sprites/shiny/"&amp;H106&amp;".png")</f>
        <v/>
      </c>
      <c r="J110" s="16" t="str">
        <f>image("https://i.imgur.com/XIu6jDl.png")</f>
        <v/>
      </c>
      <c r="K110" s="20" t="str">
        <f>image("https://pokejungle.net/sprites/shiny/"&amp;J106&amp;".png")</f>
        <v/>
      </c>
      <c r="L110" s="16" t="str">
        <f>image("https://i.imgur.com/XIu6jDl.png")</f>
        <v/>
      </c>
      <c r="M110" s="20" t="str">
        <f>image("https://pokejungle.net/sprites/shiny/"&amp;L106&amp;".png")</f>
        <v/>
      </c>
      <c r="N110" s="16" t="str">
        <f>image("https://i.imgur.com/0ArMZjJ.png")</f>
        <v/>
      </c>
      <c r="O110" s="20" t="str">
        <f>image("https://pokejungle.net/sprites/shiny/"&amp;N106&amp;".png")</f>
        <v/>
      </c>
      <c r="P110" s="16" t="str">
        <f>image("https://i.imgur.com/zpybKax.png")</f>
        <v/>
      </c>
      <c r="Q110" s="20" t="str">
        <f>image("https://pokejungle.net/sprites/shiny/"&amp;P106&amp;".png")</f>
        <v/>
      </c>
      <c r="R110" s="33"/>
    </row>
    <row r="111" ht="26.25" customHeight="1">
      <c r="A111" s="15"/>
      <c r="B111" s="38" t="str">
        <f>image("https://i.imgur.com/XzidFHI.png")</f>
        <v/>
      </c>
      <c r="C111" s="36"/>
      <c r="D111" s="46" t="str">
        <f>image("https://i.imgur.com/zpybKax.png")</f>
        <v/>
      </c>
      <c r="E111" s="36"/>
      <c r="F111" s="35" t="str">
        <f>image("https://i.imgur.com/EkqYYOB.png")</f>
        <v/>
      </c>
      <c r="G111" s="36"/>
      <c r="H111" s="35" t="str">
        <f>image("https://i.imgur.com/lpOVjtL.png")</f>
        <v/>
      </c>
      <c r="I111" s="36"/>
      <c r="J111" s="35" t="str">
        <f>image("https://i.imgur.com/lpOVjtL.png")</f>
        <v/>
      </c>
      <c r="K111" s="36"/>
      <c r="L111" s="35" t="str">
        <f>image("https://i.imgur.com/lpOVjtL.png")</f>
        <v/>
      </c>
      <c r="M111" s="36"/>
      <c r="N111" s="38"/>
      <c r="O111" s="36"/>
      <c r="P111" s="38" t="str">
        <f>image("https://i.imgur.com/JDgAgAO.png")</f>
        <v/>
      </c>
      <c r="Q111" s="36"/>
      <c r="R111" s="33"/>
    </row>
    <row r="112" ht="26.25" customHeight="1">
      <c r="A112" s="15"/>
      <c r="B112" s="40" t="str">
        <f>image("https://i.imgur.com/beHgI95.png")</f>
        <v/>
      </c>
      <c r="C112" s="41"/>
      <c r="D112" s="43"/>
      <c r="E112" s="41"/>
      <c r="F112" s="40" t="str">
        <f>image("https://i.imgur.com/RqSOGo6.png")</f>
        <v/>
      </c>
      <c r="G112" s="41"/>
      <c r="H112" s="40" t="str">
        <f>image("https://i.imgur.com/EkqYYOB.png")</f>
        <v/>
      </c>
      <c r="I112" s="41"/>
      <c r="J112" s="40" t="str">
        <f>image("https://i.imgur.com/EkqYYOB.png")</f>
        <v/>
      </c>
      <c r="K112" s="41"/>
      <c r="L112" s="40" t="str">
        <f>image("https://i.imgur.com/EkqYYOB.png")</f>
        <v/>
      </c>
      <c r="M112" s="41"/>
      <c r="N112" s="40"/>
      <c r="O112" s="41"/>
      <c r="P112" s="40" t="str">
        <f>image("https://i.imgur.com/ef1o2lD.png")</f>
        <v/>
      </c>
      <c r="Q112" s="41"/>
      <c r="R112" s="33"/>
    </row>
    <row r="113" ht="18.75" customHeight="1">
      <c r="A113" s="6"/>
      <c r="B113" s="8" t="s">
        <v>2091</v>
      </c>
      <c r="C113" s="10" t="s">
        <v>2092</v>
      </c>
      <c r="D113" s="8" t="s">
        <v>2093</v>
      </c>
      <c r="E113" s="10" t="s">
        <v>2094</v>
      </c>
      <c r="F113" s="8" t="s">
        <v>2095</v>
      </c>
      <c r="G113" s="10" t="s">
        <v>2096</v>
      </c>
      <c r="H113" s="8" t="s">
        <v>2097</v>
      </c>
      <c r="I113" s="10" t="s">
        <v>2098</v>
      </c>
      <c r="J113" s="8" t="s">
        <v>2099</v>
      </c>
      <c r="K113" s="10" t="s">
        <v>2100</v>
      </c>
      <c r="L113" s="8" t="s">
        <v>2101</v>
      </c>
      <c r="M113" s="10" t="s">
        <v>2102</v>
      </c>
      <c r="N113" s="8" t="s">
        <v>2103</v>
      </c>
      <c r="O113" s="10" t="s">
        <v>2104</v>
      </c>
      <c r="P113" s="8" t="s">
        <v>2105</v>
      </c>
      <c r="Q113" s="10" t="s">
        <v>2106</v>
      </c>
      <c r="R113" s="14"/>
    </row>
    <row r="114" ht="26.25" customHeight="1">
      <c r="A114" s="15"/>
      <c r="B114" s="16" t="str">
        <f>image("https://i.imgur.com/zpybKax.png")</f>
        <v/>
      </c>
      <c r="C114" s="20" t="str">
        <f>image("https://pokejungle.net/sprites/normal/"&amp;B113&amp;".png")</f>
        <v/>
      </c>
      <c r="D114" s="16" t="str">
        <f>image("https://i.imgur.com/XNzvO0H.png")</f>
        <v/>
      </c>
      <c r="E114" s="20" t="str">
        <f>image("https://pokejungle.net/sprites/normal/"&amp;D113&amp;".png")</f>
        <v/>
      </c>
      <c r="F114" s="16" t="str">
        <f>image("https://i.imgur.com/XIu6jDl.png")</f>
        <v/>
      </c>
      <c r="G114" s="20" t="str">
        <f>image("https://pokejungle.net/sprites/normal/"&amp;F113&amp;".png")</f>
        <v/>
      </c>
      <c r="H114" s="24" t="str">
        <f>image("https://i.imgur.com/0ArMZjJ.png")</f>
        <v/>
      </c>
      <c r="I114" s="20" t="str">
        <f>image("https://pokejungle.net/sprites/normal/"&amp;H113&amp;".png")</f>
        <v/>
      </c>
      <c r="J114" s="16" t="str">
        <f>image("https://i.imgur.com/JDgAgAO.png")</f>
        <v/>
      </c>
      <c r="K114" s="20" t="str">
        <f>image("https://pokejungle.net/sprites/normal/"&amp;J113&amp;".png")</f>
        <v/>
      </c>
      <c r="L114" s="28" t="str">
        <f>image("https://i.imgur.com/JDgAgAO.png")</f>
        <v/>
      </c>
      <c r="M114" s="20" t="str">
        <f>image("https://pokejungle.net/sprites/normal/"&amp;L113&amp;".png")</f>
        <v/>
      </c>
      <c r="N114" s="16" t="str">
        <f>image("https://i.imgur.com/N2Wqr43.png")</f>
        <v/>
      </c>
      <c r="O114" s="20" t="str">
        <f>image("https://pokejungle.net/sprites/normal/"&amp;N113&amp;".png")</f>
        <v/>
      </c>
      <c r="P114" s="16" t="str">
        <f>image("https://i.imgur.com/N2Wqr43.png")</f>
        <v/>
      </c>
      <c r="Q114" s="20" t="str">
        <f>image("https://pokejungle.net/sprites/normal/"&amp;P113&amp;".png")</f>
        <v/>
      </c>
      <c r="R114" s="33"/>
    </row>
    <row r="115" ht="26.25" customHeight="1">
      <c r="A115" s="15"/>
      <c r="B115" s="38" t="str">
        <f>image("https://i.imgur.com/JDgAgAO.png")</f>
        <v/>
      </c>
      <c r="C115" s="36"/>
      <c r="D115" s="35" t="str">
        <f>image("https://i.imgur.com/zpybKax.png")</f>
        <v/>
      </c>
      <c r="E115" s="36"/>
      <c r="F115" s="35" t="str">
        <f>image("https://i.imgur.com/rAI9Gyi.png")</f>
        <v/>
      </c>
      <c r="G115" s="36"/>
      <c r="H115" s="37" t="str">
        <f>image("https://i.imgur.com/JDgAgAO.png")</f>
        <v/>
      </c>
      <c r="I115" s="36"/>
      <c r="J115" s="38" t="str">
        <f>image("https://i.imgur.com/beHgI95.png")</f>
        <v/>
      </c>
      <c r="K115" s="36"/>
      <c r="L115" s="35" t="str">
        <f>image("https://i.imgur.com/beHgI95.png")</f>
        <v/>
      </c>
      <c r="M115" s="36"/>
      <c r="N115" s="38" t="str">
        <f>image("https://i.imgur.com/XIu6jDl.png")</f>
        <v/>
      </c>
      <c r="O115" s="36"/>
      <c r="P115" s="38" t="str">
        <f>image("https://i.imgur.com/XIu6jDl.png")</f>
        <v/>
      </c>
      <c r="Q115" s="36"/>
      <c r="R115" s="33"/>
    </row>
    <row r="116" ht="26.25" customHeight="1">
      <c r="A116" s="15"/>
      <c r="B116" s="40" t="str">
        <f>image("https://i.imgur.com/ef1o2lD.png")</f>
        <v/>
      </c>
      <c r="C116" s="41"/>
      <c r="D116" s="40" t="str">
        <f>image("https://i.imgur.com/VQL4lPa.png")</f>
        <v/>
      </c>
      <c r="E116" s="41"/>
      <c r="F116" s="40" t="str">
        <f>image("https://i.imgur.com/VQL4lPa.png")</f>
        <v/>
      </c>
      <c r="G116" s="41"/>
      <c r="H116" s="40" t="str">
        <f>image("https://i.imgur.com/N2Wqr43.png")</f>
        <v/>
      </c>
      <c r="I116" s="41"/>
      <c r="J116" s="40" t="str">
        <f>image("https://i.imgur.com/N2Wqr43.png")</f>
        <v/>
      </c>
      <c r="K116" s="41"/>
      <c r="L116" s="43" t="str">
        <f>image("https://i.imgur.com/N2Wqr43.png")</f>
        <v/>
      </c>
      <c r="M116" s="41"/>
      <c r="N116" s="40" t="str">
        <f>image("https://i.imgur.com/VQL4lPa.png")</f>
        <v/>
      </c>
      <c r="O116" s="41"/>
      <c r="P116" s="40" t="str">
        <f>image("https://i.imgur.com/VQL4lPa.png")</f>
        <v/>
      </c>
      <c r="Q116" s="41"/>
      <c r="R116" s="33"/>
    </row>
    <row r="117" ht="26.25" customHeight="1">
      <c r="A117" s="15"/>
      <c r="B117" s="16" t="str">
        <f>image("https://i.imgur.com/VQL4lPa.png")</f>
        <v/>
      </c>
      <c r="C117" s="20" t="str">
        <f>image("https://pokejungle.net/sprites/shiny/"&amp;B113&amp;".png")</f>
        <v/>
      </c>
      <c r="D117" s="16" t="str">
        <f>image("https://i.imgur.com/rAI9Gyi.png")</f>
        <v/>
      </c>
      <c r="E117" s="20" t="str">
        <f>image("https://pokejungle.net/sprites/shiny/"&amp;D113&amp;".png")</f>
        <v/>
      </c>
      <c r="F117" s="16" t="str">
        <f>image("https://i.imgur.com/rAI9Gyi.png")</f>
        <v/>
      </c>
      <c r="G117" s="20" t="str">
        <f>image("https://pokejungle.net/sprites/shiny/"&amp;F113&amp;".png")</f>
        <v/>
      </c>
      <c r="H117" s="16" t="str">
        <f>image("https://i.imgur.com/0ArMZjJ.png")</f>
        <v/>
      </c>
      <c r="I117" s="20" t="str">
        <f>image("https://pokejungle.net/sprites/shiny/"&amp;H113&amp;".png")</f>
        <v/>
      </c>
      <c r="J117" s="16" t="str">
        <f>image("https://i.imgur.com/JDgAgAO.png")</f>
        <v/>
      </c>
      <c r="K117" s="20" t="str">
        <f>image("https://pokejungle.net/sprites/shiny/"&amp;J113&amp;".png")</f>
        <v/>
      </c>
      <c r="L117" s="16" t="str">
        <f>image("https://i.imgur.com/RqSOGo6.png")</f>
        <v/>
      </c>
      <c r="M117" s="20" t="str">
        <f>image("https://pokejungle.net/sprites/shiny/"&amp;L113&amp;".png")</f>
        <v/>
      </c>
      <c r="N117" s="16" t="str">
        <f>image("https://i.imgur.com/EkqYYOB.png")</f>
        <v/>
      </c>
      <c r="O117" s="20" t="str">
        <f>image("https://pokejungle.net/sprites/shiny/"&amp;N113&amp;".png")</f>
        <v/>
      </c>
      <c r="P117" s="16" t="str">
        <f>image("https://i.imgur.com/XzidFHI.png")</f>
        <v/>
      </c>
      <c r="Q117" s="20" t="str">
        <f>image("https://pokejungle.net/sprites/shiny/"&amp;P113&amp;".png")</f>
        <v/>
      </c>
      <c r="R117" s="33"/>
    </row>
    <row r="118" ht="26.25" customHeight="1">
      <c r="A118" s="15"/>
      <c r="B118" s="38" t="str">
        <f>image("https://i.imgur.com/XIu6jDl.png")</f>
        <v/>
      </c>
      <c r="C118" s="36"/>
      <c r="D118" s="46" t="str">
        <f>image("https://i.imgur.com/XNzvO0H.png")</f>
        <v/>
      </c>
      <c r="E118" s="36"/>
      <c r="F118" s="35"/>
      <c r="G118" s="36"/>
      <c r="H118" s="46" t="str">
        <f>image("https://i.imgur.com/JDgAgAO.png")</f>
        <v/>
      </c>
      <c r="I118" s="36"/>
      <c r="J118" s="38" t="str">
        <f>image("https://i.imgur.com/XzidFHI.png")</f>
        <v/>
      </c>
      <c r="K118" s="36"/>
      <c r="L118" s="38" t="str">
        <f>image("https://i.imgur.com/N2Wqr43.png")</f>
        <v/>
      </c>
      <c r="M118" s="36"/>
      <c r="N118" s="38" t="str">
        <f>image("https://i.imgur.com/N2Wqr43.png")</f>
        <v/>
      </c>
      <c r="O118" s="36"/>
      <c r="P118" s="38" t="str">
        <f>image("https://i.imgur.com/JDgAgAO.png")</f>
        <v/>
      </c>
      <c r="Q118" s="36"/>
      <c r="R118" s="33"/>
    </row>
    <row r="119" ht="26.25" customHeight="1">
      <c r="A119" s="15"/>
      <c r="B119" s="40" t="str">
        <f>image("https://i.imgur.com/ef1o2lD.png")</f>
        <v/>
      </c>
      <c r="C119" s="41"/>
      <c r="D119" s="43"/>
      <c r="E119" s="41"/>
      <c r="F119" s="40"/>
      <c r="G119" s="41"/>
      <c r="H119" s="43" t="str">
        <f>image("https://i.imgur.com/XzidFHI.png")</f>
        <v/>
      </c>
      <c r="I119" s="41"/>
      <c r="J119" s="40" t="str">
        <f>image("https://i.imgur.com/N2Wqr43.png")</f>
        <v/>
      </c>
      <c r="K119" s="41"/>
      <c r="L119" s="43" t="str">
        <f>image("https://i.imgur.com/XzidFHI.png")</f>
        <v/>
      </c>
      <c r="M119" s="41"/>
      <c r="N119" s="40"/>
      <c r="O119" s="41"/>
      <c r="P119" s="40" t="str">
        <f>image("https://i.imgur.com/N2Wqr43.png")</f>
        <v/>
      </c>
      <c r="Q119" s="41"/>
      <c r="R119" s="33"/>
    </row>
    <row r="120" ht="18.75" customHeight="1">
      <c r="A120" s="6"/>
      <c r="B120" s="8" t="s">
        <v>2126</v>
      </c>
      <c r="C120" s="10" t="s">
        <v>2127</v>
      </c>
      <c r="D120" s="8" t="s">
        <v>2128</v>
      </c>
      <c r="E120" s="10" t="s">
        <v>2129</v>
      </c>
      <c r="F120" s="8" t="s">
        <v>2130</v>
      </c>
      <c r="G120" s="10" t="s">
        <v>2131</v>
      </c>
      <c r="H120" s="8" t="s">
        <v>2132</v>
      </c>
      <c r="I120" s="10" t="s">
        <v>2133</v>
      </c>
      <c r="J120" s="8" t="s">
        <v>2134</v>
      </c>
      <c r="K120" s="10" t="s">
        <v>2135</v>
      </c>
      <c r="L120" s="8" t="s">
        <v>2136</v>
      </c>
      <c r="M120" s="10" t="s">
        <v>2137</v>
      </c>
      <c r="N120" s="8" t="s">
        <v>2138</v>
      </c>
      <c r="O120" s="10" t="s">
        <v>2139</v>
      </c>
      <c r="P120" s="8" t="s">
        <v>2138</v>
      </c>
      <c r="Q120" s="10" t="s">
        <v>2140</v>
      </c>
      <c r="R120" s="14"/>
    </row>
    <row r="121" ht="26.25" customHeight="1">
      <c r="A121" s="15"/>
      <c r="B121" s="16" t="str">
        <f>image("https://i.imgur.com/rJhTvoD.png")</f>
        <v/>
      </c>
      <c r="C121" s="20" t="str">
        <f>image("https://pokejungle.net/sprites/normal/"&amp;B120&amp;".png")</f>
        <v/>
      </c>
      <c r="D121" s="16" t="str">
        <f>image("https://i.imgur.com/XNzvO0H.png")</f>
        <v/>
      </c>
      <c r="E121" s="20" t="str">
        <f>image("https://pokejungle.net/sprites/normal/"&amp;D120&amp;".png")</f>
        <v/>
      </c>
      <c r="F121" s="16" t="str">
        <f>image("https://i.imgur.com/XNzvO0H.png")</f>
        <v/>
      </c>
      <c r="G121" s="20" t="str">
        <f>image("https://pokejungle.net/sprites/normal/"&amp;F120&amp;".png")</f>
        <v/>
      </c>
      <c r="H121" s="24" t="str">
        <f>image("https://i.imgur.com/XNzvO0H.png")</f>
        <v/>
      </c>
      <c r="I121" s="20" t="str">
        <f>image("https://pokejungle.net/sprites/normal/"&amp;H120&amp;".png")</f>
        <v/>
      </c>
      <c r="J121" s="16" t="str">
        <f>image("https://i.imgur.com/rAI9Gyi.png")</f>
        <v/>
      </c>
      <c r="K121" s="20" t="str">
        <f>image("https://pokejungle.net/sprites/normal/"&amp;J120&amp;".png")</f>
        <v/>
      </c>
      <c r="L121" s="28" t="str">
        <f>image("https://i.imgur.com/rAI9Gyi.png")</f>
        <v/>
      </c>
      <c r="M121" s="20" t="str">
        <f>image("https://pokejungle.net/sprites/normal/"&amp;L120&amp;".png")</f>
        <v/>
      </c>
      <c r="N121" s="16" t="str">
        <f>image("https://i.imgur.com/beHgI95.png")</f>
        <v/>
      </c>
      <c r="O121" s="20" t="str">
        <f>image("https://pokejungle.net/sprites/normal/"&amp;N120&amp;".png")</f>
        <v/>
      </c>
      <c r="P121" s="16" t="str">
        <f>image("https://i.imgur.com/XIu6jDl.png")</f>
        <v/>
      </c>
      <c r="Q121" s="20" t="str">
        <f>image("https://pokejungle.net/sprites/normal/"&amp;P120&amp;"-1.png")</f>
        <v/>
      </c>
      <c r="R121" s="33"/>
    </row>
    <row r="122" ht="26.25" customHeight="1">
      <c r="A122" s="15"/>
      <c r="B122" s="38" t="str">
        <f>image("https://i.imgur.com/EkqYYOB.png")</f>
        <v/>
      </c>
      <c r="C122" s="36"/>
      <c r="D122" s="35" t="str">
        <f>image("https://i.imgur.com/0ArMZjJ.png")</f>
        <v/>
      </c>
      <c r="E122" s="36"/>
      <c r="F122" s="35" t="str">
        <f>image("https://i.imgur.com/0ArMZjJ.png")</f>
        <v/>
      </c>
      <c r="G122" s="36"/>
      <c r="H122" s="37"/>
      <c r="I122" s="36"/>
      <c r="J122" s="38"/>
      <c r="K122" s="36"/>
      <c r="L122" s="35"/>
      <c r="M122" s="36"/>
      <c r="N122" s="38" t="str">
        <f>image("https://i.imgur.com/zpybKax.png")</f>
        <v/>
      </c>
      <c r="O122" s="36"/>
      <c r="P122" s="38" t="str">
        <f>image("https://i.imgur.com/N2Wqr43.png")</f>
        <v/>
      </c>
      <c r="Q122" s="36"/>
      <c r="R122" s="33"/>
    </row>
    <row r="123" ht="26.25" customHeight="1">
      <c r="A123" s="15"/>
      <c r="B123" s="40" t="str">
        <f>image("https://i.imgur.com/beHgI95.png")</f>
        <v/>
      </c>
      <c r="C123" s="41"/>
      <c r="D123" s="40"/>
      <c r="E123" s="41"/>
      <c r="F123" s="40"/>
      <c r="G123" s="41"/>
      <c r="H123" s="40"/>
      <c r="I123" s="41"/>
      <c r="J123" s="40"/>
      <c r="K123" s="41"/>
      <c r="L123" s="43"/>
      <c r="M123" s="41"/>
      <c r="N123" s="40" t="str">
        <f>image("https://i.imgur.com/lpOVjtL.png")</f>
        <v/>
      </c>
      <c r="O123" s="41"/>
      <c r="P123" s="40" t="str">
        <f>image("https://i.imgur.com/lpOVjtL.png")</f>
        <v/>
      </c>
      <c r="Q123" s="41"/>
      <c r="R123" s="33"/>
    </row>
    <row r="124" ht="26.25" customHeight="1">
      <c r="A124" s="15"/>
      <c r="B124" s="16" t="str">
        <f>image("https://i.imgur.com/EkqYYOB.png")</f>
        <v/>
      </c>
      <c r="C124" s="20" t="str">
        <f>image("https://pokejungle.net/sprites/shiny/"&amp;B120&amp;".png")</f>
        <v/>
      </c>
      <c r="D124" s="16" t="str">
        <f>image("https://i.imgur.com/XNzvO0H.png")</f>
        <v/>
      </c>
      <c r="E124" s="20" t="str">
        <f>image("https://pokejungle.net/sprites/shiny/"&amp;D120&amp;".png")</f>
        <v/>
      </c>
      <c r="F124" s="16" t="str">
        <f>image("https://i.imgur.com/XNzvO0H.png")</f>
        <v/>
      </c>
      <c r="G124" s="20" t="str">
        <f>image("https://pokejungle.net/sprites/shiny/"&amp;F120&amp;".png")</f>
        <v/>
      </c>
      <c r="H124" s="16" t="str">
        <f>image("https://i.imgur.com/XNzvO0H.png")</f>
        <v/>
      </c>
      <c r="I124" s="20" t="str">
        <f>image("https://pokejungle.net/sprites/shiny/"&amp;H120&amp;".png")</f>
        <v/>
      </c>
      <c r="J124" s="16" t="str">
        <f>image("https://i.imgur.com/beHgI95.png")</f>
        <v/>
      </c>
      <c r="K124" s="20" t="str">
        <f>image("https://pokejungle.net/sprites/shiny/"&amp;J120&amp;".png")</f>
        <v/>
      </c>
      <c r="L124" s="16" t="str">
        <f>image("https://i.imgur.com/rAI9Gyi.png")</f>
        <v/>
      </c>
      <c r="M124" s="20" t="str">
        <f>image("https://pokejungle.net/sprites/shiny/"&amp;L120&amp;".png")</f>
        <v/>
      </c>
      <c r="N124" s="16" t="str">
        <f>image("https://i.imgur.com/zpybKax.png")</f>
        <v/>
      </c>
      <c r="O124" s="20" t="str">
        <f>image("https://pokejungle.net/sprites/shiny/"&amp;N120&amp;".png")</f>
        <v/>
      </c>
      <c r="P124" s="16" t="str">
        <f>image("https://i.imgur.com/beHgI95.png")</f>
        <v/>
      </c>
      <c r="Q124" s="20" t="str">
        <f>image("https://pokejungle.net/sprites/shiny/"&amp;P120&amp;"-1.png")</f>
        <v/>
      </c>
      <c r="R124" s="33"/>
    </row>
    <row r="125" ht="26.25" customHeight="1">
      <c r="A125" s="15"/>
      <c r="B125" s="38" t="str">
        <f>image("https://i.imgur.com/N2Wqr43.png")</f>
        <v/>
      </c>
      <c r="C125" s="36"/>
      <c r="D125" s="46" t="str">
        <f>image("https://i.imgur.com/0ArMZjJ.png")</f>
        <v/>
      </c>
      <c r="E125" s="36"/>
      <c r="F125" s="35" t="str">
        <f>image("https://i.imgur.com/0ArMZjJ.png")</f>
        <v/>
      </c>
      <c r="G125" s="36"/>
      <c r="H125" s="46" t="str">
        <f>image("https://i.imgur.com/zpybKax.png")</f>
        <v/>
      </c>
      <c r="I125" s="36"/>
      <c r="J125" s="38" t="str">
        <f>image("https://i.imgur.com/rAI9Gyi.png")</f>
        <v/>
      </c>
      <c r="K125" s="36"/>
      <c r="L125" s="46" t="str">
        <f>image("https://i.imgur.com/beHgI95.png")</f>
        <v/>
      </c>
      <c r="M125" s="36"/>
      <c r="N125" s="38" t="str">
        <f>image("https://i.imgur.com/JDgAgAO.png")</f>
        <v/>
      </c>
      <c r="O125" s="36"/>
      <c r="P125" s="38" t="str">
        <f>image("https://i.imgur.com/rJhTvoD.png")</f>
        <v/>
      </c>
      <c r="Q125" s="36"/>
      <c r="R125" s="33"/>
    </row>
    <row r="126" ht="26.25" customHeight="1">
      <c r="A126" s="15"/>
      <c r="B126" s="40"/>
      <c r="C126" s="41"/>
      <c r="D126" s="43"/>
      <c r="E126" s="41"/>
      <c r="F126" s="40"/>
      <c r="G126" s="41"/>
      <c r="H126" s="43"/>
      <c r="I126" s="41"/>
      <c r="J126" s="40" t="str">
        <f>image("https://i.imgur.com/EkqYYOB.png")</f>
        <v/>
      </c>
      <c r="K126" s="41"/>
      <c r="L126" s="43" t="str">
        <f>image("https://i.imgur.com/EkqYYOB.png")</f>
        <v/>
      </c>
      <c r="M126" s="41"/>
      <c r="N126" s="40" t="str">
        <f>image("https://i.imgur.com/lpOVjtL.png")</f>
        <v/>
      </c>
      <c r="O126" s="41"/>
      <c r="P126" s="40" t="str">
        <f>image("https://i.imgur.com/lpOVjtL.png")</f>
        <v/>
      </c>
      <c r="Q126" s="41"/>
      <c r="R126" s="33"/>
    </row>
    <row r="127" ht="18.75" customHeight="1">
      <c r="A127" s="6"/>
      <c r="B127" s="8" t="s">
        <v>2159</v>
      </c>
      <c r="C127" s="10" t="s">
        <v>2160</v>
      </c>
      <c r="D127" s="8" t="s">
        <v>2161</v>
      </c>
      <c r="E127" s="10" t="s">
        <v>2162</v>
      </c>
      <c r="F127" s="8" t="s">
        <v>2163</v>
      </c>
      <c r="G127" s="10" t="s">
        <v>2164</v>
      </c>
      <c r="H127" s="8" t="s">
        <v>2165</v>
      </c>
      <c r="I127" s="10" t="s">
        <v>2166</v>
      </c>
      <c r="J127" s="8" t="s">
        <v>2167</v>
      </c>
      <c r="K127" s="10" t="s">
        <v>2168</v>
      </c>
      <c r="L127" s="8" t="s">
        <v>2169</v>
      </c>
      <c r="M127" s="10" t="s">
        <v>2170</v>
      </c>
      <c r="N127" s="8" t="s">
        <v>2171</v>
      </c>
      <c r="O127" s="10" t="s">
        <v>2172</v>
      </c>
      <c r="P127" s="8" t="s">
        <v>2173</v>
      </c>
      <c r="Q127" s="10" t="s">
        <v>2174</v>
      </c>
      <c r="R127" s="14"/>
    </row>
    <row r="128" ht="26.25" customHeight="1">
      <c r="A128" s="15"/>
      <c r="B128" s="16" t="str">
        <f>image("https://i.imgur.com/rJhTvoD.png")</f>
        <v/>
      </c>
      <c r="C128" s="20" t="str">
        <f>image("https://pokejungle.net/sprites/normal/"&amp;B127&amp;".png")</f>
        <v/>
      </c>
      <c r="D128" s="16" t="str">
        <f>image("https://i.imgur.com/rAI9Gyi.png")</f>
        <v/>
      </c>
      <c r="E128" s="20" t="str">
        <f>image("https://pokejungle.net/sprites/normal/"&amp;D127&amp;".png")</f>
        <v/>
      </c>
      <c r="F128" s="16" t="str">
        <f>image("https://i.imgur.com/ef1o2lD.png")</f>
        <v/>
      </c>
      <c r="G128" s="20" t="str">
        <f>image("https://pokejungle.net/sprites/normal/"&amp;F127&amp;".png")</f>
        <v/>
      </c>
      <c r="H128" s="24" t="str">
        <f>image("https://i.imgur.com/JDgAgAO.png")</f>
        <v/>
      </c>
      <c r="I128" s="20" t="str">
        <f>image("https://pokejungle.net/sprites/normal/"&amp;H127&amp;".png")</f>
        <v/>
      </c>
      <c r="J128" s="16" t="str">
        <f>image("https://i.imgur.com/JDgAgAO.png")</f>
        <v/>
      </c>
      <c r="K128" s="20" t="str">
        <f>image("https://pokejungle.net/sprites/normal/"&amp;J127&amp;".png")</f>
        <v/>
      </c>
      <c r="L128" s="28" t="str">
        <f>image("https://i.imgur.com/JOd7Boe.png")</f>
        <v/>
      </c>
      <c r="M128" s="20" t="str">
        <f>image("https://pokejungle.net/sprites/normal/"&amp;L127&amp;".png")</f>
        <v/>
      </c>
      <c r="N128" s="16" t="str">
        <f>image("https://i.imgur.com/JOd7Boe.png")</f>
        <v/>
      </c>
      <c r="O128" s="20" t="str">
        <f>image("https://pokejungle.net/sprites/normal/"&amp;N127&amp;".png")</f>
        <v/>
      </c>
      <c r="P128" s="16" t="str">
        <f>image("https://i.imgur.com/EkqYYOB.png")</f>
        <v/>
      </c>
      <c r="Q128" s="20" t="str">
        <f>image("https://pokejungle.net/sprites/normal/"&amp;P127&amp;".png")</f>
        <v/>
      </c>
      <c r="R128" s="33"/>
    </row>
    <row r="129" ht="26.25" customHeight="1">
      <c r="A129" s="15"/>
      <c r="B129" s="38" t="str">
        <f>image("https://i.imgur.com/a9HBljD.png")</f>
        <v/>
      </c>
      <c r="C129" s="36"/>
      <c r="D129" s="35" t="str">
        <f>image("https://i.imgur.com/XI18XGu.png")</f>
        <v/>
      </c>
      <c r="E129" s="36"/>
      <c r="F129" s="35" t="str">
        <f>image("https://i.imgur.com/SF5CZ6U.png")</f>
        <v/>
      </c>
      <c r="G129" s="36"/>
      <c r="H129" s="37" t="str">
        <f>image("https://i.imgur.com/zpybKax.png")</f>
        <v/>
      </c>
      <c r="I129" s="36"/>
      <c r="J129" s="38" t="str">
        <f>image("https://i.imgur.com/zpybKax.png")</f>
        <v/>
      </c>
      <c r="K129" s="36"/>
      <c r="L129" s="35" t="str">
        <f>image("https://i.imgur.com/EkqYYOB.png")</f>
        <v/>
      </c>
      <c r="M129" s="36"/>
      <c r="N129" s="38" t="str">
        <f>image("https://i.imgur.com/EkqYYOB.png")</f>
        <v/>
      </c>
      <c r="O129" s="36"/>
      <c r="P129" s="38" t="str">
        <f>image("https://i.imgur.com/beHgI95.png")</f>
        <v/>
      </c>
      <c r="Q129" s="36"/>
      <c r="R129" s="33"/>
    </row>
    <row r="130" ht="26.25" customHeight="1">
      <c r="A130" s="15"/>
      <c r="B130" s="43" t="str">
        <f>image("https://i.imgur.com/rAI9Gyi.png")</f>
        <v/>
      </c>
      <c r="C130" s="41"/>
      <c r="D130" s="40" t="str">
        <f>image("https://i.imgur.com/nNTmuH8.png")</f>
        <v/>
      </c>
      <c r="E130" s="41"/>
      <c r="F130" s="40" t="str">
        <f>image("https://i.imgur.com/zpybKax.png")</f>
        <v/>
      </c>
      <c r="G130" s="41"/>
      <c r="H130" s="40"/>
      <c r="I130" s="41"/>
      <c r="J130" s="40"/>
      <c r="K130" s="41"/>
      <c r="L130" s="40" t="str">
        <f>image("https://i.imgur.com/GyNf8BH.png")</f>
        <v/>
      </c>
      <c r="M130" s="41"/>
      <c r="N130" s="40" t="str">
        <f>image("https://i.imgur.com/GyNf8BH.png")</f>
        <v/>
      </c>
      <c r="O130" s="41"/>
      <c r="P130" s="40"/>
      <c r="Q130" s="41"/>
      <c r="R130" s="33"/>
    </row>
    <row r="131" ht="26.25" customHeight="1">
      <c r="A131" s="15"/>
      <c r="B131" s="16" t="str">
        <f>image("https://i.imgur.com/XI18XGu.png")</f>
        <v/>
      </c>
      <c r="C131" s="20" t="str">
        <f>image("https://pokejungle.net/sprites/shiny/"&amp;B127&amp;".png")</f>
        <v/>
      </c>
      <c r="D131" s="16" t="str">
        <f>image("https://i.imgur.com/a9HBljD.png")</f>
        <v/>
      </c>
      <c r="E131" s="20" t="str">
        <f>image("https://pokejungle.net/sprites/shiny/"&amp;D127&amp;".png")</f>
        <v/>
      </c>
      <c r="F131" s="16" t="str">
        <f>image("https://i.imgur.com/VQL4lPa.png")</f>
        <v/>
      </c>
      <c r="G131" s="20" t="str">
        <f>image("https://pokejungle.net/sprites/shiny/"&amp;F127&amp;".png")</f>
        <v/>
      </c>
      <c r="H131" s="16" t="str">
        <f>image("https://i.imgur.com/NkILW1J.png")</f>
        <v/>
      </c>
      <c r="I131" s="20" t="str">
        <f>image("https://pokejungle.net/sprites/shiny/"&amp;H127&amp;".png")</f>
        <v/>
      </c>
      <c r="J131" s="16" t="str">
        <f>image("https://i.imgur.com/NkILW1J.png")</f>
        <v/>
      </c>
      <c r="K131" s="20" t="str">
        <f>image("https://pokejungle.net/sprites/shiny/"&amp;J127&amp;".png")</f>
        <v/>
      </c>
      <c r="L131" s="16" t="str">
        <f>image("https://i.imgur.com/NkILW1J.png")</f>
        <v/>
      </c>
      <c r="M131" s="20" t="str">
        <f>image("https://pokejungle.net/sprites/shiny/"&amp;L127&amp;".png")</f>
        <v/>
      </c>
      <c r="N131" s="16" t="str">
        <f>image("https://i.imgur.com/NkILW1J.png")</f>
        <v/>
      </c>
      <c r="O131" s="20" t="str">
        <f>image("https://pokejungle.net/sprites/shiny/"&amp;N127&amp;".png")</f>
        <v/>
      </c>
      <c r="P131" s="16" t="str">
        <f>image("https://i.imgur.com/EkqYYOB.png")</f>
        <v/>
      </c>
      <c r="Q131" s="20" t="str">
        <f>image("https://pokejungle.net/sprites/shiny/"&amp;P127&amp;".png")</f>
        <v/>
      </c>
      <c r="R131" s="33"/>
    </row>
    <row r="132" ht="26.25" customHeight="1">
      <c r="A132" s="15"/>
      <c r="B132" s="38" t="str">
        <f>image("https://i.imgur.com/rAI9Gyi.png")</f>
        <v/>
      </c>
      <c r="C132" s="36"/>
      <c r="D132" s="46" t="str">
        <f>image("https://i.imgur.com/rAI9Gyi.png")</f>
        <v/>
      </c>
      <c r="E132" s="36"/>
      <c r="F132" s="35" t="str">
        <f>image("https://i.imgur.com/XIu6jDl.png")</f>
        <v/>
      </c>
      <c r="G132" s="36"/>
      <c r="H132" s="46" t="str">
        <f>image("https://i.imgur.com/JDgAgAO.png")</f>
        <v/>
      </c>
      <c r="I132" s="36"/>
      <c r="J132" s="38" t="str">
        <f>image("https://i.imgur.com/JDgAgAO.png")</f>
        <v/>
      </c>
      <c r="K132" s="36"/>
      <c r="L132" s="46" t="str">
        <f>image("https://i.imgur.com/zpybKax.png")</f>
        <v/>
      </c>
      <c r="M132" s="36"/>
      <c r="N132" s="38" t="str">
        <f>image("https://i.imgur.com/zpybKax.png")</f>
        <v/>
      </c>
      <c r="O132" s="36"/>
      <c r="P132" s="38" t="str">
        <f>image("https://i.imgur.com/beHgI95.png")</f>
        <v/>
      </c>
      <c r="Q132" s="36"/>
      <c r="R132" s="33"/>
    </row>
    <row r="133" ht="26.25" customHeight="1">
      <c r="A133" s="15"/>
      <c r="B133" s="40" t="str">
        <f>image("https://i.imgur.com/nNTmuH8.png")</f>
        <v/>
      </c>
      <c r="C133" s="41"/>
      <c r="D133" s="43"/>
      <c r="E133" s="41"/>
      <c r="F133" s="40" t="str">
        <f>image("https://i.imgur.com/N2Wqr43.png")</f>
        <v/>
      </c>
      <c r="G133" s="41"/>
      <c r="H133" s="43" t="str">
        <f>image("https://i.imgur.com/N2Wqr43.png")</f>
        <v/>
      </c>
      <c r="I133" s="41"/>
      <c r="J133" s="40" t="str">
        <f>image("https://i.imgur.com/N2Wqr43.png")</f>
        <v/>
      </c>
      <c r="K133" s="41"/>
      <c r="L133" s="43"/>
      <c r="M133" s="41"/>
      <c r="N133" s="40"/>
      <c r="O133" s="41"/>
      <c r="P133" s="40"/>
      <c r="Q133" s="41"/>
      <c r="R133" s="33"/>
    </row>
    <row r="134" ht="18.75" customHeight="1">
      <c r="A134" s="6"/>
      <c r="B134" s="8" t="s">
        <v>2209</v>
      </c>
      <c r="C134" s="10" t="s">
        <v>2210</v>
      </c>
      <c r="D134" s="8" t="s">
        <v>2211</v>
      </c>
      <c r="E134" s="10" t="s">
        <v>2212</v>
      </c>
      <c r="F134" s="8" t="s">
        <v>2211</v>
      </c>
      <c r="G134" s="10" t="s">
        <v>2213</v>
      </c>
      <c r="H134" s="8" t="s">
        <v>2214</v>
      </c>
      <c r="I134" s="10" t="s">
        <v>2215</v>
      </c>
      <c r="J134" s="8" t="s">
        <v>2216</v>
      </c>
      <c r="K134" s="10" t="s">
        <v>2217</v>
      </c>
      <c r="L134" s="8" t="s">
        <v>2218</v>
      </c>
      <c r="M134" s="10" t="s">
        <v>2219</v>
      </c>
      <c r="N134" s="8" t="s">
        <v>2220</v>
      </c>
      <c r="O134" s="10" t="s">
        <v>2221</v>
      </c>
      <c r="P134" s="8" t="s">
        <v>2222</v>
      </c>
      <c r="Q134" s="10" t="s">
        <v>2223</v>
      </c>
      <c r="R134" s="14"/>
    </row>
    <row r="135" ht="26.25" customHeight="1">
      <c r="A135" s="15"/>
      <c r="B135" s="16" t="str">
        <f>image("https://i.imgur.com/0ArMZjJ.png")</f>
        <v/>
      </c>
      <c r="C135" s="20" t="str">
        <f>image("https://pokejungle.net/sprites/normal/"&amp;B134&amp;".png")</f>
        <v/>
      </c>
      <c r="D135" s="16" t="str">
        <f>image("https://i.imgur.com/SF5CZ6U.png")</f>
        <v/>
      </c>
      <c r="E135" s="20" t="str">
        <f>image("https://pokejungle.net/sprites/normal/"&amp;D134&amp;".png")</f>
        <v/>
      </c>
      <c r="F135" s="16" t="str">
        <f>image("https://i.imgur.com/0ArMZjJ.png")</f>
        <v/>
      </c>
      <c r="G135" s="20" t="str">
        <f>image("https://pokejungle.net/sprites/normal/"&amp;F134&amp;"-1.png")</f>
        <v/>
      </c>
      <c r="H135" s="24" t="str">
        <f>image("https://i.imgur.com/JOd7Boe.png")</f>
        <v/>
      </c>
      <c r="I135" s="20" t="str">
        <f>image("https://pokejungle.net/sprites/normal/"&amp;H134&amp;".png")</f>
        <v/>
      </c>
      <c r="J135" s="24" t="str">
        <f>image("https://i.imgur.com/JOd7Boe.png")</f>
        <v/>
      </c>
      <c r="K135" s="20" t="str">
        <f>image("https://pokejungle.net/sprites/normal/"&amp;J134&amp;".png")</f>
        <v/>
      </c>
      <c r="L135" s="28" t="str">
        <f>image("https://i.imgur.com/RqSOGo6.png")</f>
        <v/>
      </c>
      <c r="M135" s="20" t="str">
        <f>image("https://pokejungle.net/sprites/normal/"&amp;L134&amp;".png")</f>
        <v/>
      </c>
      <c r="N135" s="16" t="str">
        <f>image("https://i.imgur.com/JOd7Boe.png")</f>
        <v/>
      </c>
      <c r="O135" s="20" t="str">
        <f>image("https://pokejungle.net/sprites/normal/"&amp;N134&amp;".png")</f>
        <v/>
      </c>
      <c r="P135" s="16" t="str">
        <f>image("https://i.imgur.com/NkILW1J.png")</f>
        <v/>
      </c>
      <c r="Q135" s="20" t="str">
        <f>image("https://pokejungle.net/sprites/normal/"&amp;P134&amp;".png")</f>
        <v/>
      </c>
      <c r="R135" s="33"/>
    </row>
    <row r="136" ht="26.25" customHeight="1">
      <c r="A136" s="15"/>
      <c r="B136" s="38" t="str">
        <f>image("https://i.imgur.com/JOd7Boe.png")</f>
        <v/>
      </c>
      <c r="C136" s="36"/>
      <c r="D136" s="35" t="str">
        <f>image("https://i.imgur.com/zpybKax.png")</f>
        <v/>
      </c>
      <c r="E136" s="36"/>
      <c r="F136" s="35" t="str">
        <f>image("https://i.imgur.com/JOd7Boe.png")</f>
        <v/>
      </c>
      <c r="G136" s="36"/>
      <c r="H136" s="37" t="str">
        <f>image("https://i.imgur.com/XIu6jDl.png")</f>
        <v/>
      </c>
      <c r="I136" s="36"/>
      <c r="J136" s="38" t="str">
        <f>image("https://i.imgur.com/XIu6jDl.png")</f>
        <v/>
      </c>
      <c r="K136" s="36"/>
      <c r="L136" s="35"/>
      <c r="M136" s="36"/>
      <c r="N136" s="38"/>
      <c r="O136" s="36"/>
      <c r="P136" s="38" t="str">
        <f>image("https://i.imgur.com/SF5CZ6U.png")</f>
        <v/>
      </c>
      <c r="Q136" s="36"/>
      <c r="R136" s="33"/>
    </row>
    <row r="137" ht="26.25" customHeight="1">
      <c r="A137" s="15"/>
      <c r="B137" s="40" t="str">
        <f>image("https://i.imgur.com/EkqYYOB.png")</f>
        <v/>
      </c>
      <c r="C137" s="41"/>
      <c r="D137" s="40" t="str">
        <f>image("https://i.imgur.com/EkqYYOB.png")</f>
        <v/>
      </c>
      <c r="E137" s="41"/>
      <c r="F137" s="40" t="str">
        <f>image("https://i.imgur.com/EkqYYOB.png")</f>
        <v/>
      </c>
      <c r="G137" s="41"/>
      <c r="H137" s="43" t="str">
        <f>image("https://i.imgur.com/rAI9Gyi.png")</f>
        <v/>
      </c>
      <c r="I137" s="41"/>
      <c r="J137" s="43" t="str">
        <f>image("https://i.imgur.com/rAI9Gyi.png")</f>
        <v/>
      </c>
      <c r="K137" s="41"/>
      <c r="L137" s="43"/>
      <c r="M137" s="41"/>
      <c r="N137" s="40"/>
      <c r="O137" s="41"/>
      <c r="P137" s="40" t="str">
        <f t="shared" ref="P137:P138" si="4">image("https://i.imgur.com/N2Wqr43.png")</f>
        <v/>
      </c>
      <c r="Q137" s="41"/>
      <c r="R137" s="33"/>
    </row>
    <row r="138" ht="26.25" customHeight="1">
      <c r="A138" s="15"/>
      <c r="B138" s="16" t="str">
        <f>image("https://i.imgur.com/0ArMZjJ.png")</f>
        <v/>
      </c>
      <c r="C138" s="20" t="str">
        <f>image("https://pokejungle.net/sprites/shiny/"&amp;B134&amp;".png")</f>
        <v/>
      </c>
      <c r="D138" s="16" t="str">
        <f>image("https://i.imgur.com/SF5CZ6U.png")</f>
        <v/>
      </c>
      <c r="E138" s="20" t="str">
        <f>image("https://pokejungle.net/sprites/shiny/"&amp;D134&amp;".png")</f>
        <v/>
      </c>
      <c r="F138" s="16" t="str">
        <f>image("https://i.imgur.com/NkILW1J.png")</f>
        <v/>
      </c>
      <c r="G138" s="20" t="str">
        <f>image("https://pokejungle.net/sprites/shiny/"&amp;F134&amp;"-1.png")</f>
        <v/>
      </c>
      <c r="H138" s="24" t="str">
        <f>image("https://i.imgur.com/JOd7Boe.png")</f>
        <v/>
      </c>
      <c r="I138" s="20" t="str">
        <f>image("https://pokejungle.net/sprites/shiny/"&amp;H134&amp;".png")</f>
        <v/>
      </c>
      <c r="J138" s="24" t="str">
        <f>image("https://i.imgur.com/JOd7Boe.png")</f>
        <v/>
      </c>
      <c r="K138" s="20" t="str">
        <f>image("https://pokejungle.net/sprites/shiny/"&amp;J134&amp;".png")</f>
        <v/>
      </c>
      <c r="L138" s="16" t="str">
        <f>image("https://i.imgur.com/EkqYYOB.png")</f>
        <v/>
      </c>
      <c r="M138" s="20" t="str">
        <f>image("https://pokejungle.net/sprites/shiny/"&amp;L134&amp;".png")</f>
        <v/>
      </c>
      <c r="N138" s="16" t="str">
        <f>image("https://i.imgur.com/XIu6jDl.png")</f>
        <v/>
      </c>
      <c r="O138" s="20" t="str">
        <f>image("https://pokejungle.net/sprites/shiny/"&amp;N134&amp;".png")</f>
        <v/>
      </c>
      <c r="P138" s="16" t="str">
        <f t="shared" si="4"/>
        <v/>
      </c>
      <c r="Q138" s="20" t="str">
        <f>image("https://pokejungle.net/sprites/shiny/"&amp;P134&amp;".png")</f>
        <v/>
      </c>
      <c r="R138" s="33"/>
    </row>
    <row r="139" ht="26.25" customHeight="1">
      <c r="A139" s="15"/>
      <c r="B139" s="38" t="str">
        <f>image("https://i.imgur.com/JOd7Boe.png")</f>
        <v/>
      </c>
      <c r="C139" s="36"/>
      <c r="D139" s="46" t="str">
        <f>image("https://i.imgur.com/zpybKax.png")</f>
        <v/>
      </c>
      <c r="E139" s="36"/>
      <c r="F139" s="35" t="str">
        <f>image("https://i.imgur.com/JDgAgAO.png")</f>
        <v/>
      </c>
      <c r="G139" s="36"/>
      <c r="H139" s="46" t="str">
        <f>image("https://i.imgur.com/XI18XGu.png")</f>
        <v/>
      </c>
      <c r="I139" s="36"/>
      <c r="J139" s="38" t="str">
        <f>image("https://i.imgur.com/XI18XGu.png")</f>
        <v/>
      </c>
      <c r="K139" s="36"/>
      <c r="L139" s="46"/>
      <c r="M139" s="36"/>
      <c r="N139" s="38" t="str">
        <f>image("https://i.imgur.com/N2Wqr43.png")</f>
        <v/>
      </c>
      <c r="O139" s="36"/>
      <c r="P139" s="38" t="str">
        <f>image("https://i.imgur.com/VQL4lPa.png")</f>
        <v/>
      </c>
      <c r="Q139" s="36"/>
      <c r="R139" s="33"/>
    </row>
    <row r="140" ht="26.25" customHeight="1">
      <c r="A140" s="15"/>
      <c r="B140" s="40" t="str">
        <f>image("https://i.imgur.com/EkqYYOB.png")</f>
        <v/>
      </c>
      <c r="C140" s="41"/>
      <c r="D140" s="43" t="str">
        <f>image("https://i.imgur.com/JDgAgAO.png")</f>
        <v/>
      </c>
      <c r="E140" s="41"/>
      <c r="F140" s="40" t="str">
        <f>image("https://i.imgur.com/zpybKax.png")</f>
        <v/>
      </c>
      <c r="G140" s="41"/>
      <c r="H140" s="43" t="str">
        <f>image("https://i.imgur.com/XIu6jDl.png")</f>
        <v/>
      </c>
      <c r="I140" s="41"/>
      <c r="J140" s="40" t="str">
        <f>image("https://i.imgur.com/XIu6jDl.png")</f>
        <v/>
      </c>
      <c r="K140" s="41"/>
      <c r="L140" s="43"/>
      <c r="M140" s="41"/>
      <c r="N140" s="40"/>
      <c r="O140" s="41"/>
      <c r="P140" s="40"/>
      <c r="Q140" s="41"/>
      <c r="R140" s="33"/>
    </row>
    <row r="141" ht="18.75" customHeight="1">
      <c r="A141" s="6"/>
      <c r="B141" s="8" t="s">
        <v>2238</v>
      </c>
      <c r="C141" s="10" t="s">
        <v>2239</v>
      </c>
      <c r="D141" s="8" t="s">
        <v>2240</v>
      </c>
      <c r="E141" s="10" t="s">
        <v>2241</v>
      </c>
      <c r="F141" s="8" t="s">
        <v>2242</v>
      </c>
      <c r="G141" s="10" t="s">
        <v>2243</v>
      </c>
      <c r="H141" s="8" t="s">
        <v>2244</v>
      </c>
      <c r="I141" s="10" t="s">
        <v>2245</v>
      </c>
      <c r="J141" s="8" t="s">
        <v>2246</v>
      </c>
      <c r="K141" s="10" t="s">
        <v>2247</v>
      </c>
      <c r="L141" s="8" t="s">
        <v>2248</v>
      </c>
      <c r="M141" s="10" t="s">
        <v>2249</v>
      </c>
      <c r="N141" s="8" t="s">
        <v>2250</v>
      </c>
      <c r="O141" s="10" t="s">
        <v>2251</v>
      </c>
      <c r="P141" s="8" t="s">
        <v>2252</v>
      </c>
      <c r="Q141" s="10" t="s">
        <v>2253</v>
      </c>
      <c r="R141" s="14"/>
    </row>
    <row r="142" ht="26.25" customHeight="1">
      <c r="A142" s="15"/>
      <c r="B142" s="16" t="str">
        <f>image("https://i.imgur.com/NkILW1J.png")</f>
        <v/>
      </c>
      <c r="C142" s="20" t="str">
        <f>image("https://pokejungle.net/sprites/normal/"&amp;B141&amp;".png")</f>
        <v/>
      </c>
      <c r="D142" s="16" t="str">
        <f>image("https://i.imgur.com/SF5CZ6U.png")</f>
        <v/>
      </c>
      <c r="E142" s="20" t="str">
        <f>image("https://pokejungle.net/sprites/normal/"&amp;D141&amp;".png")</f>
        <v/>
      </c>
      <c r="F142" s="16" t="str">
        <f>image("https://i.imgur.com/JOd7Boe.png")</f>
        <v/>
      </c>
      <c r="G142" s="20" t="str">
        <f>image("https://pokejungle.net/sprites/normal/"&amp;F141&amp;".png")</f>
        <v/>
      </c>
      <c r="H142" s="24" t="str">
        <f>image("https://i.imgur.com/JOd7Boe.png")</f>
        <v/>
      </c>
      <c r="I142" s="20" t="str">
        <f>image("https://pokejungle.net/sprites/normal/"&amp;H141&amp;".png")</f>
        <v/>
      </c>
      <c r="J142" s="16" t="str">
        <f>image("https://i.imgur.com/XzidFHI.png")</f>
        <v/>
      </c>
      <c r="K142" s="20" t="str">
        <f>image("https://pokejungle.net/sprites/normal/"&amp;J141&amp;".png")</f>
        <v/>
      </c>
      <c r="L142" s="28" t="str">
        <f>image("https://i.imgur.com/NkILW1J.png")</f>
        <v/>
      </c>
      <c r="M142" s="20" t="str">
        <f>image("https://pokejungle.net/sprites/normal/"&amp;L141&amp;".png")</f>
        <v/>
      </c>
      <c r="N142" s="16" t="str">
        <f>image("https://i.imgur.com/VQL4lPa.png")</f>
        <v/>
      </c>
      <c r="O142" s="20" t="str">
        <f>image("https://pokejungle.net/sprites/normal/"&amp;N141&amp;".png")</f>
        <v/>
      </c>
      <c r="P142" s="16" t="str">
        <f>image("https://i.imgur.com/N2Wqr43.png")</f>
        <v/>
      </c>
      <c r="Q142" s="20" t="str">
        <f>image("https://pokejungle.net/sprites/normal/"&amp;P141&amp;".png")</f>
        <v/>
      </c>
      <c r="R142" s="33"/>
    </row>
    <row r="143" ht="26.25" customHeight="1">
      <c r="A143" s="15"/>
      <c r="B143" s="38" t="str">
        <f>image("https://i.imgur.com/SF5CZ6U.png")</f>
        <v/>
      </c>
      <c r="C143" s="36"/>
      <c r="D143" s="35" t="str">
        <f>image("https://i.imgur.com/NkILW1J.png")</f>
        <v/>
      </c>
      <c r="E143" s="36"/>
      <c r="F143" s="35" t="str">
        <f>image("https://i.imgur.com/RqSOGo6.png")</f>
        <v/>
      </c>
      <c r="G143" s="36"/>
      <c r="H143" s="37" t="str">
        <f>image("https://i.imgur.com/RqSOGo6.png")</f>
        <v/>
      </c>
      <c r="I143" s="36"/>
      <c r="J143" s="38" t="str">
        <f>image("https://i.imgur.com/zpybKax.png")</f>
        <v/>
      </c>
      <c r="K143" s="36"/>
      <c r="L143" s="35" t="str">
        <f>image("https://i.imgur.com/RqSOGo6.png")</f>
        <v/>
      </c>
      <c r="M143" s="36"/>
      <c r="N143" s="38" t="str">
        <f>image("https://i.imgur.com/XIu6jDl.png")</f>
        <v/>
      </c>
      <c r="O143" s="36"/>
      <c r="P143" s="38" t="str">
        <f>image("https://i.imgur.com/VQL4lPa.png")</f>
        <v/>
      </c>
      <c r="Q143" s="36"/>
      <c r="R143" s="33"/>
    </row>
    <row r="144" ht="26.25" customHeight="1">
      <c r="A144" s="15"/>
      <c r="B144" s="40" t="str">
        <f t="shared" ref="B144:B145" si="5">image("https://i.imgur.com/N2Wqr43.png")</f>
        <v/>
      </c>
      <c r="C144" s="41"/>
      <c r="D144" s="40" t="str">
        <f t="shared" ref="D144:D145" si="6">image("https://i.imgur.com/N2Wqr43.png")</f>
        <v/>
      </c>
      <c r="E144" s="41"/>
      <c r="F144" s="40" t="str">
        <f>image("https://i.imgur.com/0ArMZjJ.png")</f>
        <v/>
      </c>
      <c r="G144" s="41"/>
      <c r="H144" s="40" t="str">
        <f>image("https://i.imgur.com/0ArMZjJ.png")</f>
        <v/>
      </c>
      <c r="I144" s="41"/>
      <c r="J144" s="40"/>
      <c r="K144" s="41"/>
      <c r="L144" s="43"/>
      <c r="M144" s="41"/>
      <c r="N144" s="40"/>
      <c r="O144" s="41"/>
      <c r="P144" s="43" t="str">
        <f>image("https://i.imgur.com/nNTmuH8.png")</f>
        <v/>
      </c>
      <c r="Q144" s="41"/>
      <c r="R144" s="33"/>
    </row>
    <row r="145" ht="26.25" customHeight="1">
      <c r="A145" s="15"/>
      <c r="B145" s="16" t="str">
        <f t="shared" si="5"/>
        <v/>
      </c>
      <c r="C145" s="20" t="str">
        <f>image("https://pokejungle.net/sprites/shiny/"&amp;B141&amp;".png")</f>
        <v/>
      </c>
      <c r="D145" s="16" t="str">
        <f t="shared" si="6"/>
        <v/>
      </c>
      <c r="E145" s="20" t="str">
        <f>image("https://pokejungle.net/sprites/shiny/"&amp;D141&amp;".png")</f>
        <v/>
      </c>
      <c r="F145" s="16" t="str">
        <f>image("https://i.imgur.com/beHgI95.png")</f>
        <v/>
      </c>
      <c r="G145" s="20" t="str">
        <f>image("https://pokejungle.net/sprites/shiny/"&amp;F141&amp;".png")</f>
        <v/>
      </c>
      <c r="H145" s="16" t="str">
        <f>image("https://i.imgur.com/beHgI95.png")</f>
        <v/>
      </c>
      <c r="I145" s="20" t="str">
        <f>image("https://pokejungle.net/sprites/shiny/"&amp;H141&amp;".png")</f>
        <v/>
      </c>
      <c r="J145" s="16" t="str">
        <f>image("https://i.imgur.com/zpybKax.png")</f>
        <v/>
      </c>
      <c r="K145" s="20" t="str">
        <f>image("https://pokejungle.net/sprites/shiny/"&amp;J141&amp;".png")</f>
        <v/>
      </c>
      <c r="L145" s="16" t="str">
        <f>image("https://i.imgur.com/lpOVjtL.png")</f>
        <v/>
      </c>
      <c r="M145" s="20" t="str">
        <f>image("https://pokejungle.net/sprites/shiny/"&amp;L141&amp;".png")</f>
        <v/>
      </c>
      <c r="N145" s="16" t="str">
        <f>image("https://i.imgur.com/rAI9Gyi.png")</f>
        <v/>
      </c>
      <c r="O145" s="20" t="str">
        <f>image("https://pokejungle.net/sprites/shiny/"&amp;N141&amp;".png")</f>
        <v/>
      </c>
      <c r="P145" s="16" t="str">
        <f>image("https://i.imgur.com/N2Wqr43.png")</f>
        <v/>
      </c>
      <c r="Q145" s="20" t="str">
        <f>image("https://pokejungle.net/sprites/shiny/"&amp;P141&amp;".png")</f>
        <v/>
      </c>
      <c r="R145" s="33"/>
    </row>
    <row r="146" ht="26.25" customHeight="1">
      <c r="A146" s="15"/>
      <c r="B146" s="38" t="str">
        <f>image("https://i.imgur.com/VQL4lPa.png")</f>
        <v/>
      </c>
      <c r="C146" s="36"/>
      <c r="D146" s="38" t="str">
        <f>image("https://i.imgur.com/VQL4lPa.png")</f>
        <v/>
      </c>
      <c r="E146" s="36"/>
      <c r="F146" s="35" t="str">
        <f>image("https://i.imgur.com/rJhTvoD.png")</f>
        <v/>
      </c>
      <c r="G146" s="36"/>
      <c r="H146" s="46" t="str">
        <f>image("https://i.imgur.com/rJhTvoD.png")</f>
        <v/>
      </c>
      <c r="I146" s="36"/>
      <c r="J146" s="38" t="str">
        <f>image("https://i.imgur.com/JDgAgAO.png")</f>
        <v/>
      </c>
      <c r="K146" s="36"/>
      <c r="L146" s="46" t="str">
        <f>image("https://i.imgur.com/EkqYYOB.png")</f>
        <v/>
      </c>
      <c r="M146" s="36"/>
      <c r="N146" s="38" t="str">
        <f>image("https://i.imgur.com/a9HBljD.png")</f>
        <v/>
      </c>
      <c r="O146" s="36"/>
      <c r="P146" s="38" t="str">
        <f>image("https://i.imgur.com/VQL4lPa.png")</f>
        <v/>
      </c>
      <c r="Q146" s="36"/>
      <c r="R146" s="33"/>
    </row>
    <row r="147" ht="26.25" customHeight="1">
      <c r="A147" s="15"/>
      <c r="B147" s="40"/>
      <c r="C147" s="41"/>
      <c r="D147" s="43" t="str">
        <f>image("https://i.imgur.com/nNTmuH8.png")</f>
        <v/>
      </c>
      <c r="E147" s="41"/>
      <c r="F147" s="40" t="str">
        <f>image("https://i.imgur.com/0ArMZjJ.png")</f>
        <v/>
      </c>
      <c r="G147" s="41"/>
      <c r="H147" s="43" t="str">
        <f>image("https://i.imgur.com/0ArMZjJ.png")</f>
        <v/>
      </c>
      <c r="I147" s="41"/>
      <c r="J147" s="40"/>
      <c r="K147" s="41"/>
      <c r="L147" s="43"/>
      <c r="M147" s="41"/>
      <c r="N147" s="40"/>
      <c r="O147" s="41"/>
      <c r="P147" s="43" t="str">
        <f>image("https://i.imgur.com/nNTmuH8.png")</f>
        <v/>
      </c>
      <c r="Q147" s="41"/>
      <c r="R147" s="33"/>
    </row>
    <row r="148" ht="18.75" customHeight="1">
      <c r="A148" s="6"/>
      <c r="B148" s="8" t="s">
        <v>2252</v>
      </c>
      <c r="C148" s="10" t="s">
        <v>2258</v>
      </c>
      <c r="D148" s="8" t="s">
        <v>2259</v>
      </c>
      <c r="E148" s="10" t="s">
        <v>2260</v>
      </c>
      <c r="F148" s="8" t="s">
        <v>2259</v>
      </c>
      <c r="G148" s="10" t="s">
        <v>2261</v>
      </c>
      <c r="H148" s="8" t="s">
        <v>2262</v>
      </c>
      <c r="I148" s="10" t="s">
        <v>2263</v>
      </c>
      <c r="J148" s="8" t="s">
        <v>2264</v>
      </c>
      <c r="K148" s="10" t="s">
        <v>2265</v>
      </c>
      <c r="L148" s="8" t="s">
        <v>2266</v>
      </c>
      <c r="M148" s="10" t="s">
        <v>2267</v>
      </c>
      <c r="N148" s="8" t="s">
        <v>2266</v>
      </c>
      <c r="O148" s="10" t="s">
        <v>2268</v>
      </c>
      <c r="P148" s="8" t="s">
        <v>2269</v>
      </c>
      <c r="Q148" s="10" t="s">
        <v>2270</v>
      </c>
      <c r="R148" s="14"/>
    </row>
    <row r="149" ht="26.25" customHeight="1">
      <c r="A149" s="15"/>
      <c r="B149" s="16" t="str">
        <f>image("https://i.imgur.com/N2Wqr43.png")</f>
        <v/>
      </c>
      <c r="C149" s="20" t="str">
        <f>image("https://pokejungle.net/sprites/normal/"&amp;B148&amp;"-1.png")</f>
        <v/>
      </c>
      <c r="D149" s="16" t="str">
        <f>image("https://i.imgur.com/XzidFHI.png")</f>
        <v/>
      </c>
      <c r="E149" s="20" t="str">
        <f>image("https://pokejungle.net/sprites/normal/"&amp;D148&amp;".png")</f>
        <v/>
      </c>
      <c r="F149" s="16" t="str">
        <f>image("https://i.imgur.com/XzidFHI.png")</f>
        <v/>
      </c>
      <c r="G149" s="20" t="str">
        <f>image("https://pokejungle.net/sprites/normal/"&amp;F148&amp;"-1.png")</f>
        <v/>
      </c>
      <c r="H149" s="24" t="str">
        <f>image("https://i.imgur.com/0ArMZjJ.png")</f>
        <v/>
      </c>
      <c r="I149" s="20" t="str">
        <f>image("https://pokejungle.net/sprites/normal/"&amp;H148&amp;".png")</f>
        <v/>
      </c>
      <c r="J149" s="16" t="str">
        <f>image("https://i.imgur.com/EkqYYOB.png")</f>
        <v/>
      </c>
      <c r="K149" s="20" t="str">
        <f>image("https://pokejungle.net/sprites/normal/"&amp;J148&amp;".png")</f>
        <v/>
      </c>
      <c r="L149" s="28" t="str">
        <f>image("https://i.imgur.com/RqSOGo6.png")</f>
        <v/>
      </c>
      <c r="M149" s="20" t="str">
        <f>image("https://pokejungle.net/sprites/normal/"&amp;L148&amp;".png")</f>
        <v/>
      </c>
      <c r="N149" s="16" t="str">
        <f>image("https://i.imgur.com/RqSOGo6.png")</f>
        <v/>
      </c>
      <c r="O149" s="20" t="str">
        <f>image("https://pokejungle.net/sprites/normal/"&amp;N148&amp;"-1.png")</f>
        <v/>
      </c>
      <c r="P149" s="16" t="str">
        <f>image("https://i.imgur.com/XNzvO0H.png")</f>
        <v/>
      </c>
      <c r="Q149" s="20" t="str">
        <f>image("https://pokejungle.net/sprites/normal/"&amp;P148&amp;".png")</f>
        <v/>
      </c>
      <c r="R149" s="33"/>
    </row>
    <row r="150" ht="26.25" customHeight="1">
      <c r="A150" s="15"/>
      <c r="B150" s="38" t="str">
        <f>image("https://i.imgur.com/VQL4lPa.png")</f>
        <v/>
      </c>
      <c r="C150" s="36"/>
      <c r="D150" s="35" t="str">
        <f>image("https://i.imgur.com/JDgAgAO.png")</f>
        <v/>
      </c>
      <c r="E150" s="36"/>
      <c r="F150" s="35" t="str">
        <f>image("https://i.imgur.com/JDgAgAO.png")</f>
        <v/>
      </c>
      <c r="G150" s="36"/>
      <c r="H150" s="46" t="str">
        <f>image("https://i.imgur.com/lKAfx6k.png")</f>
        <v/>
      </c>
      <c r="I150" s="36"/>
      <c r="J150" s="38" t="str">
        <f>image("https://i.imgur.com/XzidFHI.png")</f>
        <v/>
      </c>
      <c r="K150" s="36"/>
      <c r="L150" s="35" t="str">
        <f>image("https://i.imgur.com/bxys1sd.png")</f>
        <v/>
      </c>
      <c r="M150" s="36"/>
      <c r="N150" s="38" t="str">
        <f>image("https://i.imgur.com/bxys1sd.png")</f>
        <v/>
      </c>
      <c r="O150" s="36"/>
      <c r="P150" s="38" t="str">
        <f>image("https://i.imgur.com/NkILW1J.png")</f>
        <v/>
      </c>
      <c r="Q150" s="36"/>
      <c r="R150" s="33"/>
    </row>
    <row r="151" ht="26.25" customHeight="1">
      <c r="A151" s="15"/>
      <c r="B151" s="43" t="str">
        <f>image("https://i.imgur.com/nNTmuH8.png")</f>
        <v/>
      </c>
      <c r="C151" s="41"/>
      <c r="D151" s="40" t="str">
        <f>image("https://i.imgur.com/zpybKax.png")</f>
        <v/>
      </c>
      <c r="E151" s="41"/>
      <c r="F151" s="40" t="str">
        <f>image("https://i.imgur.com/zpybKax.png")</f>
        <v/>
      </c>
      <c r="G151" s="41"/>
      <c r="H151" s="40"/>
      <c r="I151" s="41"/>
      <c r="J151" s="40"/>
      <c r="K151" s="41"/>
      <c r="L151" s="43"/>
      <c r="M151" s="41"/>
      <c r="N151" s="40"/>
      <c r="O151" s="41"/>
      <c r="P151" s="43" t="str">
        <f>image("https://i.imgur.com/IIajvuS.png")</f>
        <v/>
      </c>
      <c r="Q151" s="41"/>
      <c r="R151" s="33"/>
    </row>
    <row r="152" ht="26.25" customHeight="1">
      <c r="A152" s="15"/>
      <c r="B152" s="16" t="str">
        <f>image("https://i.imgur.com/N2Wqr43.png")</f>
        <v/>
      </c>
      <c r="C152" s="20" t="str">
        <f>image("https://pokejungle.net/sprites/shiny/"&amp;B148&amp;"-1.png")</f>
        <v/>
      </c>
      <c r="D152" s="16" t="str">
        <f>image("https://i.imgur.com/XzidFHI.png")</f>
        <v/>
      </c>
      <c r="E152" s="20" t="str">
        <f>image("https://pokejungle.net/sprites/shiny/"&amp;D148&amp;".png")</f>
        <v/>
      </c>
      <c r="F152" s="16" t="str">
        <f>image("https://i.imgur.com/XzidFHI.png")</f>
        <v/>
      </c>
      <c r="G152" s="20" t="str">
        <f>image("https://pokejungle.net/sprites/shiny/"&amp;F148&amp;"-1.png")</f>
        <v/>
      </c>
      <c r="H152" s="16" t="str">
        <f>image("https://i.imgur.com/0ArMZjJ.png")</f>
        <v/>
      </c>
      <c r="I152" s="20" t="str">
        <f>image("https://pokejungle.net/sprites/shiny/"&amp;H148&amp;".png")</f>
        <v/>
      </c>
      <c r="J152" s="16" t="str">
        <f>image("https://i.imgur.com/EkqYYOB.png")</f>
        <v/>
      </c>
      <c r="K152" s="20" t="str">
        <f>image("https://pokejungle.net/sprites/shiny/"&amp;J148&amp;".png")</f>
        <v/>
      </c>
      <c r="L152" s="16" t="str">
        <f>image("https://i.imgur.com/RqSOGo6.png")</f>
        <v/>
      </c>
      <c r="M152" s="20" t="str">
        <f>image("https://pokejungle.net/sprites/shiny/"&amp;L148&amp;".png")</f>
        <v/>
      </c>
      <c r="N152" s="16" t="str">
        <f>image("https://i.imgur.com/RqSOGo6.png")</f>
        <v/>
      </c>
      <c r="O152" s="20" t="str">
        <f>image("https://pokejungle.net/sprites/shiny/"&amp;N148&amp;"-1.png")</f>
        <v/>
      </c>
      <c r="P152" s="16" t="str">
        <f>image("https://i.imgur.com/NkILW1J.png")</f>
        <v/>
      </c>
      <c r="Q152" s="20" t="str">
        <f>image("https://pokejungle.net/sprites/shiny/"&amp;P148&amp;".png")</f>
        <v/>
      </c>
      <c r="R152" s="33"/>
    </row>
    <row r="153" ht="26.25" customHeight="1">
      <c r="A153" s="15"/>
      <c r="B153" s="38" t="str">
        <f>image("https://i.imgur.com/VQL4lPa.png")</f>
        <v/>
      </c>
      <c r="C153" s="36"/>
      <c r="D153" s="35" t="str">
        <f>image("https://i.imgur.com/JDgAgAO.png")</f>
        <v/>
      </c>
      <c r="E153" s="36"/>
      <c r="F153" s="35" t="str">
        <f>image("https://i.imgur.com/JDgAgAO.png")</f>
        <v/>
      </c>
      <c r="G153" s="36"/>
      <c r="H153" s="35" t="str">
        <f>image("https://i.imgur.com/rJhTvoD.png")</f>
        <v/>
      </c>
      <c r="I153" s="36"/>
      <c r="J153" s="38" t="str">
        <f>image("https://i.imgur.com/N2Wqr43.png")</f>
        <v/>
      </c>
      <c r="K153" s="36"/>
      <c r="L153" s="46" t="str">
        <f>image("https://i.imgur.com/lKAfx6k.png")</f>
        <v/>
      </c>
      <c r="M153" s="36"/>
      <c r="N153" s="38" t="str">
        <f>image("https://i.imgur.com/lKAfx6k.png")</f>
        <v/>
      </c>
      <c r="O153" s="36"/>
      <c r="P153" s="38" t="str">
        <f>image("https://i.imgur.com/XNzvO0H.png")</f>
        <v/>
      </c>
      <c r="Q153" s="36"/>
      <c r="R153" s="33"/>
    </row>
    <row r="154" ht="26.25" customHeight="1">
      <c r="A154" s="15"/>
      <c r="B154" s="43" t="str">
        <f>image("https://i.imgur.com/nNTmuH8.png")</f>
        <v/>
      </c>
      <c r="C154" s="41"/>
      <c r="D154" s="43" t="str">
        <f>image("https://i.imgur.com/nNTmuH8.png")</f>
        <v/>
      </c>
      <c r="E154" s="41"/>
      <c r="F154" s="43" t="str">
        <f>image("https://i.imgur.com/nNTmuH8.png")</f>
        <v/>
      </c>
      <c r="G154" s="41"/>
      <c r="H154" s="43"/>
      <c r="I154" s="41"/>
      <c r="J154" s="40"/>
      <c r="K154" s="41"/>
      <c r="L154" s="43"/>
      <c r="M154" s="41"/>
      <c r="N154" s="40"/>
      <c r="O154" s="41"/>
      <c r="P154" s="43" t="str">
        <f>image("https://i.imgur.com/IIajvuS.png")</f>
        <v/>
      </c>
      <c r="Q154" s="41"/>
      <c r="R154" s="33"/>
    </row>
    <row r="155" ht="18.75" customHeight="1">
      <c r="A155" s="1"/>
      <c r="B155" s="8" t="s">
        <v>2269</v>
      </c>
      <c r="C155" s="10" t="s">
        <v>2271</v>
      </c>
      <c r="D155" s="8" t="s">
        <v>2269</v>
      </c>
      <c r="E155" s="10" t="s">
        <v>2272</v>
      </c>
      <c r="F155" s="8" t="s">
        <v>2273</v>
      </c>
      <c r="G155" s="10" t="s">
        <v>2274</v>
      </c>
      <c r="H155" s="8" t="s">
        <v>2275</v>
      </c>
      <c r="I155" s="10" t="s">
        <v>2276</v>
      </c>
      <c r="J155" s="8" t="s">
        <v>2277</v>
      </c>
      <c r="K155" s="10" t="s">
        <v>2278</v>
      </c>
      <c r="L155" s="69"/>
      <c r="M155" s="1"/>
      <c r="N155" s="2"/>
      <c r="O155" s="1"/>
      <c r="P155" s="2"/>
      <c r="Q155" s="1"/>
      <c r="R155" s="1"/>
    </row>
    <row r="156" ht="26.25" customHeight="1">
      <c r="A156" s="15"/>
      <c r="B156" s="16" t="str">
        <f>image("https://i.imgur.com/XNzvO0H.png")</f>
        <v/>
      </c>
      <c r="C156" s="20" t="str">
        <f>image("https://img.pokemondb.net/sprites/home/normal/kyurem-white.png")</f>
        <v/>
      </c>
      <c r="D156" s="16" t="str">
        <f>image("https://i.imgur.com/XNzvO0H.png")</f>
        <v/>
      </c>
      <c r="E156" s="20" t="str">
        <f>image("https://img.pokemondb.net/sprites/home/normal/kyurem-black.png")</f>
        <v/>
      </c>
      <c r="F156" s="16" t="str">
        <f>image("https://i.imgur.com/ef1o2lD.png")</f>
        <v/>
      </c>
      <c r="G156" s="20" t="str">
        <f>image("https://pokejungle.net/sprites/normal/"&amp;F155&amp;".png")</f>
        <v/>
      </c>
      <c r="H156" s="24" t="str">
        <f>image("https://i.imgur.com/JDgAgAO.png")</f>
        <v/>
      </c>
      <c r="I156" s="20" t="str">
        <f>image("https://pokejungle.net/sprites/normal/"&amp;H155&amp;".png")</f>
        <v/>
      </c>
      <c r="J156" s="16" t="str">
        <f>image("https://i.imgur.com/nNTmuH8.png")</f>
        <v/>
      </c>
      <c r="K156" s="20" t="str">
        <f>image("https://pokejungle.net/sprites/normal/"&amp;J155&amp;".png")</f>
        <v/>
      </c>
      <c r="L156" s="97"/>
      <c r="M156" s="130"/>
      <c r="N156" s="115"/>
      <c r="O156" s="116"/>
      <c r="P156" s="115"/>
      <c r="Q156" s="130"/>
      <c r="R156" s="1"/>
    </row>
    <row r="157" ht="26.25" customHeight="1">
      <c r="A157" s="15"/>
      <c r="B157" s="38" t="str">
        <f>image("https://i.imgur.com/NkILW1J.png")</f>
        <v/>
      </c>
      <c r="C157" s="36"/>
      <c r="D157" s="35" t="str">
        <f>image("https://i.imgur.com/NkILW1J.png")</f>
        <v/>
      </c>
      <c r="E157" s="36"/>
      <c r="F157" s="35" t="str">
        <f>image("https://i.imgur.com/SF5CZ6U.png")</f>
        <v/>
      </c>
      <c r="G157" s="36"/>
      <c r="H157" s="37" t="str">
        <f>image("https://i.imgur.com/VQL4lPa.png")</f>
        <v/>
      </c>
      <c r="I157" s="36"/>
      <c r="J157" s="38" t="str">
        <f>image("https://i.imgur.com/XI18XGu.png")</f>
        <v/>
      </c>
      <c r="K157" s="36"/>
      <c r="L157" s="97"/>
      <c r="M157" s="26"/>
      <c r="N157" s="115"/>
      <c r="O157" s="75"/>
      <c r="P157" s="115"/>
      <c r="Q157" s="26"/>
      <c r="R157" s="1"/>
    </row>
    <row r="158" ht="26.25" customHeight="1">
      <c r="A158" s="15"/>
      <c r="B158" s="43" t="str">
        <f>image("https://i.imgur.com/IIajvuS.png")</f>
        <v/>
      </c>
      <c r="C158" s="41"/>
      <c r="D158" s="43" t="str">
        <f>image("https://i.imgur.com/IIajvuS.png")</f>
        <v/>
      </c>
      <c r="E158" s="41"/>
      <c r="F158" s="43" t="str">
        <f>image("https://i.imgur.com/IIajvuS.png")</f>
        <v/>
      </c>
      <c r="G158" s="41"/>
      <c r="H158" s="43" t="str">
        <f>image("https://i.imgur.com/XzidFHI.png")</f>
        <v/>
      </c>
      <c r="I158" s="41"/>
      <c r="J158" s="40" t="str">
        <f>image("https://i.imgur.com/N2Wqr43.png")</f>
        <v/>
      </c>
      <c r="K158" s="41"/>
      <c r="L158" s="97"/>
      <c r="M158" s="52"/>
      <c r="N158" s="115"/>
      <c r="O158" s="76"/>
      <c r="P158" s="115"/>
      <c r="Q158" s="52"/>
      <c r="R158" s="1"/>
    </row>
    <row r="159" ht="26.25" customHeight="1">
      <c r="A159" s="15"/>
      <c r="B159" s="16" t="str">
        <f>image("https://i.imgur.com/NkILW1J.png")</f>
        <v/>
      </c>
      <c r="C159" s="20" t="str">
        <f>image("https://img.pokemondb.net/sprites/home/shiny/kyurem-white.png")</f>
        <v/>
      </c>
      <c r="D159" s="16" t="str">
        <f>image("https://i.imgur.com/NkILW1J.png")</f>
        <v/>
      </c>
      <c r="E159" s="20" t="str">
        <f>image("https://img.pokemondb.net/sprites/home/shiny/kyurem-black.png")</f>
        <v/>
      </c>
      <c r="F159" s="16" t="str">
        <f>image("https://i.imgur.com/aeqHLEh.png")</f>
        <v/>
      </c>
      <c r="G159" s="20" t="str">
        <f>image("https://img.pokemondb.net/sprites/home/shiny/keldeo.png")</f>
        <v/>
      </c>
      <c r="H159" s="16" t="str">
        <f>image("https://i.imgur.com/aeqHLEh.png")</f>
        <v/>
      </c>
      <c r="I159" s="20" t="str">
        <f>image("https://img.pokemondb.net/sprites/home/shiny/meloetta.png")</f>
        <v/>
      </c>
      <c r="J159" s="16" t="str">
        <f>image("https://i.imgur.com/aeqHLEh.png")</f>
        <v/>
      </c>
      <c r="K159" s="20" t="str">
        <f>image("https://pokejungle.net/sprites/shiny/"&amp;J155&amp;".png")</f>
        <v/>
      </c>
      <c r="L159" s="131"/>
      <c r="M159" s="130"/>
      <c r="N159" s="115"/>
      <c r="O159" s="116"/>
      <c r="P159" s="115"/>
      <c r="Q159" s="130"/>
      <c r="R159" s="1"/>
    </row>
    <row r="160" ht="26.25" customHeight="1">
      <c r="A160" s="15"/>
      <c r="B160" s="38" t="str">
        <f>image("https://i.imgur.com/XNzvO0H.png")</f>
        <v/>
      </c>
      <c r="C160" s="36"/>
      <c r="D160" s="46" t="str">
        <f>image("https://i.imgur.com/XNzvO0H.png")</f>
        <v/>
      </c>
      <c r="E160" s="36"/>
      <c r="F160" s="38"/>
      <c r="G160" s="36"/>
      <c r="H160" s="38"/>
      <c r="I160" s="36"/>
      <c r="J160" s="38" t="str">
        <f>image("https://i.imgur.com/0ArMZjJ.png")</f>
        <v/>
      </c>
      <c r="K160" s="36"/>
      <c r="L160" s="26"/>
      <c r="M160" s="26"/>
      <c r="N160" s="115"/>
      <c r="O160" s="75"/>
      <c r="P160" s="115"/>
      <c r="Q160" s="26"/>
      <c r="R160" s="1"/>
    </row>
    <row r="161" ht="26.25" customHeight="1">
      <c r="A161" s="15"/>
      <c r="B161" s="43" t="str">
        <f>image("https://i.imgur.com/IIajvuS.png")</f>
        <v/>
      </c>
      <c r="C161" s="41"/>
      <c r="D161" s="43" t="str">
        <f>image("https://i.imgur.com/IIajvuS.png")</f>
        <v/>
      </c>
      <c r="E161" s="41"/>
      <c r="F161" s="40"/>
      <c r="G161" s="41"/>
      <c r="H161" s="40"/>
      <c r="I161" s="41"/>
      <c r="J161" s="43" t="str">
        <f>image("https://i.imgur.com/bxys1sd.png")</f>
        <v/>
      </c>
      <c r="K161" s="41"/>
      <c r="L161" s="52"/>
      <c r="M161" s="52"/>
      <c r="N161" s="115"/>
      <c r="O161" s="76"/>
      <c r="P161" s="115"/>
      <c r="Q161" s="52"/>
      <c r="R161" s="1"/>
    </row>
    <row r="162" ht="18.75" customHeight="1">
      <c r="A162" s="1"/>
      <c r="B162" s="2"/>
      <c r="C162" s="1"/>
      <c r="D162" s="2"/>
      <c r="E162" s="1"/>
      <c r="F162" s="2"/>
      <c r="G162" s="1"/>
      <c r="H162" s="2"/>
      <c r="I162" s="1"/>
      <c r="J162" s="2"/>
      <c r="K162" s="1"/>
      <c r="L162" s="2"/>
      <c r="M162" s="1"/>
      <c r="N162" s="2"/>
      <c r="O162" s="1"/>
      <c r="P162" s="2"/>
      <c r="Q162" s="1"/>
      <c r="R162" s="1"/>
    </row>
  </sheetData>
  <mergeCells count="370">
    <mergeCell ref="Q61:Q63"/>
    <mergeCell ref="Q65:Q67"/>
    <mergeCell ref="Q68:Q70"/>
    <mergeCell ref="Q72:Q74"/>
    <mergeCell ref="Q75:Q77"/>
    <mergeCell ref="Q79:Q81"/>
    <mergeCell ref="Q82:Q84"/>
    <mergeCell ref="Q86:Q88"/>
    <mergeCell ref="Q89:Q91"/>
    <mergeCell ref="Q93:Q95"/>
    <mergeCell ref="Q96:Q98"/>
    <mergeCell ref="Q100:Q102"/>
    <mergeCell ref="Q103:Q105"/>
    <mergeCell ref="Q107:Q109"/>
    <mergeCell ref="E5:E7"/>
    <mergeCell ref="E9:E11"/>
    <mergeCell ref="C12:C14"/>
    <mergeCell ref="E12:E14"/>
    <mergeCell ref="G12:G14"/>
    <mergeCell ref="C16:C18"/>
    <mergeCell ref="G19:G21"/>
    <mergeCell ref="C19:C21"/>
    <mergeCell ref="C23:C25"/>
    <mergeCell ref="G23:G25"/>
    <mergeCell ref="K23:K25"/>
    <mergeCell ref="C26:C28"/>
    <mergeCell ref="G26:G28"/>
    <mergeCell ref="K26:K28"/>
    <mergeCell ref="O23:O25"/>
    <mergeCell ref="Q23:Q25"/>
    <mergeCell ref="O26:O28"/>
    <mergeCell ref="Q26:Q28"/>
    <mergeCell ref="O30:O32"/>
    <mergeCell ref="Q30:Q32"/>
    <mergeCell ref="Q33:Q35"/>
    <mergeCell ref="E40:E42"/>
    <mergeCell ref="E44:E46"/>
    <mergeCell ref="I44:I46"/>
    <mergeCell ref="K44:K46"/>
    <mergeCell ref="Q37:Q39"/>
    <mergeCell ref="Q40:Q42"/>
    <mergeCell ref="Q44:Q46"/>
    <mergeCell ref="Q47:Q49"/>
    <mergeCell ref="Q51:Q53"/>
    <mergeCell ref="Q54:Q56"/>
    <mergeCell ref="Q58:Q60"/>
    <mergeCell ref="O65:O67"/>
    <mergeCell ref="O68:O70"/>
    <mergeCell ref="M114:M116"/>
    <mergeCell ref="M117:M119"/>
    <mergeCell ref="C103:C105"/>
    <mergeCell ref="C107:C109"/>
    <mergeCell ref="C110:C112"/>
    <mergeCell ref="C114:C116"/>
    <mergeCell ref="G114:G116"/>
    <mergeCell ref="E117:E119"/>
    <mergeCell ref="G117:G119"/>
    <mergeCell ref="C117:C119"/>
    <mergeCell ref="C121:C123"/>
    <mergeCell ref="E121:E123"/>
    <mergeCell ref="G121:G123"/>
    <mergeCell ref="C124:C126"/>
    <mergeCell ref="G124:G126"/>
    <mergeCell ref="C128:C130"/>
    <mergeCell ref="G128:G130"/>
    <mergeCell ref="E124:E126"/>
    <mergeCell ref="E128:E130"/>
    <mergeCell ref="C131:C133"/>
    <mergeCell ref="E131:E133"/>
    <mergeCell ref="G131:G133"/>
    <mergeCell ref="E135:E137"/>
    <mergeCell ref="G135:G137"/>
    <mergeCell ref="C135:C137"/>
    <mergeCell ref="C138:C140"/>
    <mergeCell ref="E138:E140"/>
    <mergeCell ref="G138:G140"/>
    <mergeCell ref="C142:C144"/>
    <mergeCell ref="G142:G144"/>
    <mergeCell ref="C145:C147"/>
    <mergeCell ref="G145:G147"/>
    <mergeCell ref="E23:E25"/>
    <mergeCell ref="E26:E28"/>
    <mergeCell ref="C30:C32"/>
    <mergeCell ref="E30:E32"/>
    <mergeCell ref="G30:G32"/>
    <mergeCell ref="E33:E35"/>
    <mergeCell ref="G33:G35"/>
    <mergeCell ref="C33:C35"/>
    <mergeCell ref="C37:C39"/>
    <mergeCell ref="E37:E39"/>
    <mergeCell ref="G37:G39"/>
    <mergeCell ref="C40:C42"/>
    <mergeCell ref="G40:G42"/>
    <mergeCell ref="G44:G46"/>
    <mergeCell ref="C44:C46"/>
    <mergeCell ref="C47:C49"/>
    <mergeCell ref="E47:E49"/>
    <mergeCell ref="G47:G49"/>
    <mergeCell ref="C51:C53"/>
    <mergeCell ref="G51:G53"/>
    <mergeCell ref="G54:G56"/>
    <mergeCell ref="E51:E53"/>
    <mergeCell ref="E54:E56"/>
    <mergeCell ref="E58:E60"/>
    <mergeCell ref="E61:E63"/>
    <mergeCell ref="E65:E67"/>
    <mergeCell ref="E68:E70"/>
    <mergeCell ref="E72:E74"/>
    <mergeCell ref="C54:C56"/>
    <mergeCell ref="C58:C60"/>
    <mergeCell ref="C61:C63"/>
    <mergeCell ref="C65:C67"/>
    <mergeCell ref="C68:C70"/>
    <mergeCell ref="C72:C74"/>
    <mergeCell ref="C75:C77"/>
    <mergeCell ref="C79:C81"/>
    <mergeCell ref="C82:C84"/>
    <mergeCell ref="C86:C88"/>
    <mergeCell ref="C89:C91"/>
    <mergeCell ref="C93:C95"/>
    <mergeCell ref="C96:C98"/>
    <mergeCell ref="C100:C102"/>
    <mergeCell ref="C152:C154"/>
    <mergeCell ref="C156:C158"/>
    <mergeCell ref="E156:E158"/>
    <mergeCell ref="G156:G158"/>
    <mergeCell ref="C159:C161"/>
    <mergeCell ref="E159:E161"/>
    <mergeCell ref="G159:G161"/>
    <mergeCell ref="E142:E144"/>
    <mergeCell ref="E145:E147"/>
    <mergeCell ref="C149:C151"/>
    <mergeCell ref="E149:E151"/>
    <mergeCell ref="G149:G151"/>
    <mergeCell ref="E152:E154"/>
    <mergeCell ref="G152:G154"/>
    <mergeCell ref="O142:O144"/>
    <mergeCell ref="O145:O147"/>
    <mergeCell ref="O117:O119"/>
    <mergeCell ref="O121:O123"/>
    <mergeCell ref="O124:O126"/>
    <mergeCell ref="O128:O130"/>
    <mergeCell ref="O131:O133"/>
    <mergeCell ref="O135:O137"/>
    <mergeCell ref="O138:O140"/>
    <mergeCell ref="K159:K161"/>
    <mergeCell ref="L159:L161"/>
    <mergeCell ref="K135:K137"/>
    <mergeCell ref="K138:K140"/>
    <mergeCell ref="K142:K144"/>
    <mergeCell ref="K145:K147"/>
    <mergeCell ref="K149:K151"/>
    <mergeCell ref="K152:K154"/>
    <mergeCell ref="K156:K158"/>
    <mergeCell ref="Q110:Q112"/>
    <mergeCell ref="I114:I116"/>
    <mergeCell ref="K114:K116"/>
    <mergeCell ref="O114:O116"/>
    <mergeCell ref="I117:I119"/>
    <mergeCell ref="I121:I123"/>
    <mergeCell ref="M121:M123"/>
    <mergeCell ref="Q121:Q123"/>
    <mergeCell ref="K117:K119"/>
    <mergeCell ref="K121:K123"/>
    <mergeCell ref="I124:I126"/>
    <mergeCell ref="K124:K126"/>
    <mergeCell ref="M124:M126"/>
    <mergeCell ref="K128:K130"/>
    <mergeCell ref="M128:M130"/>
    <mergeCell ref="I138:I140"/>
    <mergeCell ref="I142:I144"/>
    <mergeCell ref="I145:I147"/>
    <mergeCell ref="I149:I151"/>
    <mergeCell ref="I152:I154"/>
    <mergeCell ref="I156:I158"/>
    <mergeCell ref="I159:I161"/>
    <mergeCell ref="I128:I130"/>
    <mergeCell ref="I131:I133"/>
    <mergeCell ref="K131:K133"/>
    <mergeCell ref="M131:M133"/>
    <mergeCell ref="I135:I137"/>
    <mergeCell ref="M135:M137"/>
    <mergeCell ref="M138:M140"/>
    <mergeCell ref="Q142:Q144"/>
    <mergeCell ref="Q145:Q147"/>
    <mergeCell ref="Q149:Q151"/>
    <mergeCell ref="Q152:Q154"/>
    <mergeCell ref="Q156:Q158"/>
    <mergeCell ref="Q159:Q161"/>
    <mergeCell ref="Q114:Q116"/>
    <mergeCell ref="Q117:Q119"/>
    <mergeCell ref="Q124:Q126"/>
    <mergeCell ref="Q128:Q130"/>
    <mergeCell ref="Q131:Q133"/>
    <mergeCell ref="Q135:Q137"/>
    <mergeCell ref="Q138:Q140"/>
    <mergeCell ref="M156:M158"/>
    <mergeCell ref="M159:M161"/>
    <mergeCell ref="M142:M144"/>
    <mergeCell ref="M145:M147"/>
    <mergeCell ref="M149:M151"/>
    <mergeCell ref="O149:O151"/>
    <mergeCell ref="M152:M154"/>
    <mergeCell ref="O152:O154"/>
    <mergeCell ref="O156:O158"/>
    <mergeCell ref="O159:O161"/>
    <mergeCell ref="E2:E4"/>
    <mergeCell ref="G2:G4"/>
    <mergeCell ref="I2:I4"/>
    <mergeCell ref="K2:K4"/>
    <mergeCell ref="M2:M4"/>
    <mergeCell ref="O2:O4"/>
    <mergeCell ref="Q2:Q4"/>
    <mergeCell ref="M5:M7"/>
    <mergeCell ref="O5:O7"/>
    <mergeCell ref="Q5:Q7"/>
    <mergeCell ref="I5:I7"/>
    <mergeCell ref="I9:I11"/>
    <mergeCell ref="I12:I14"/>
    <mergeCell ref="K12:K14"/>
    <mergeCell ref="M12:M14"/>
    <mergeCell ref="O12:O14"/>
    <mergeCell ref="Q12:Q14"/>
    <mergeCell ref="K9:K11"/>
    <mergeCell ref="M9:M11"/>
    <mergeCell ref="O9:O11"/>
    <mergeCell ref="Q9:Q11"/>
    <mergeCell ref="C2:C4"/>
    <mergeCell ref="B5:B7"/>
    <mergeCell ref="C5:C7"/>
    <mergeCell ref="G5:G7"/>
    <mergeCell ref="K5:K7"/>
    <mergeCell ref="C9:C11"/>
    <mergeCell ref="G9:G11"/>
    <mergeCell ref="G16:G18"/>
    <mergeCell ref="I16:I18"/>
    <mergeCell ref="K16:K18"/>
    <mergeCell ref="M16:M18"/>
    <mergeCell ref="O16:O18"/>
    <mergeCell ref="Q16:Q18"/>
    <mergeCell ref="E16:E18"/>
    <mergeCell ref="E19:E21"/>
    <mergeCell ref="I19:I21"/>
    <mergeCell ref="K19:K21"/>
    <mergeCell ref="M19:M21"/>
    <mergeCell ref="O19:O21"/>
    <mergeCell ref="Q19:Q21"/>
    <mergeCell ref="I23:I25"/>
    <mergeCell ref="I26:I28"/>
    <mergeCell ref="I30:I32"/>
    <mergeCell ref="K30:K32"/>
    <mergeCell ref="I33:I35"/>
    <mergeCell ref="K33:K35"/>
    <mergeCell ref="K37:K39"/>
    <mergeCell ref="I37:I39"/>
    <mergeCell ref="I40:I42"/>
    <mergeCell ref="I47:I49"/>
    <mergeCell ref="I51:I53"/>
    <mergeCell ref="I54:I56"/>
    <mergeCell ref="I58:I60"/>
    <mergeCell ref="I61:I63"/>
    <mergeCell ref="K40:K42"/>
    <mergeCell ref="K47:K49"/>
    <mergeCell ref="K51:K53"/>
    <mergeCell ref="K54:K56"/>
    <mergeCell ref="K58:K60"/>
    <mergeCell ref="K61:K63"/>
    <mergeCell ref="K65:K67"/>
    <mergeCell ref="I89:I91"/>
    <mergeCell ref="I93:I95"/>
    <mergeCell ref="I96:I98"/>
    <mergeCell ref="I100:I102"/>
    <mergeCell ref="I103:I105"/>
    <mergeCell ref="I107:I109"/>
    <mergeCell ref="I110:I112"/>
    <mergeCell ref="I65:I67"/>
    <mergeCell ref="I68:I70"/>
    <mergeCell ref="I72:I74"/>
    <mergeCell ref="I75:I77"/>
    <mergeCell ref="I79:I81"/>
    <mergeCell ref="I82:I84"/>
    <mergeCell ref="I86:I88"/>
    <mergeCell ref="K93:K95"/>
    <mergeCell ref="K96:K98"/>
    <mergeCell ref="K100:K102"/>
    <mergeCell ref="K103:K105"/>
    <mergeCell ref="K107:K109"/>
    <mergeCell ref="K110:K112"/>
    <mergeCell ref="K68:K70"/>
    <mergeCell ref="K72:K74"/>
    <mergeCell ref="K75:K77"/>
    <mergeCell ref="K79:K81"/>
    <mergeCell ref="K82:K84"/>
    <mergeCell ref="K86:K88"/>
    <mergeCell ref="K89:K91"/>
    <mergeCell ref="O33:O35"/>
    <mergeCell ref="O37:O39"/>
    <mergeCell ref="O40:O42"/>
    <mergeCell ref="O44:O46"/>
    <mergeCell ref="O47:O49"/>
    <mergeCell ref="O51:O53"/>
    <mergeCell ref="O54:O56"/>
    <mergeCell ref="O89:O91"/>
    <mergeCell ref="O93:O95"/>
    <mergeCell ref="O96:O98"/>
    <mergeCell ref="O100:O102"/>
    <mergeCell ref="O103:O105"/>
    <mergeCell ref="O107:O109"/>
    <mergeCell ref="O110:O112"/>
    <mergeCell ref="O58:O60"/>
    <mergeCell ref="O61:O63"/>
    <mergeCell ref="O72:O74"/>
    <mergeCell ref="O75:O77"/>
    <mergeCell ref="O79:O81"/>
    <mergeCell ref="O82:O84"/>
    <mergeCell ref="O86:O88"/>
    <mergeCell ref="M23:M25"/>
    <mergeCell ref="M26:M28"/>
    <mergeCell ref="M30:M32"/>
    <mergeCell ref="M33:M35"/>
    <mergeCell ref="M37:M39"/>
    <mergeCell ref="M40:M42"/>
    <mergeCell ref="M44:M46"/>
    <mergeCell ref="M47:M49"/>
    <mergeCell ref="M51:M53"/>
    <mergeCell ref="M54:M56"/>
    <mergeCell ref="M58:M60"/>
    <mergeCell ref="M61:M63"/>
    <mergeCell ref="M65:M67"/>
    <mergeCell ref="M68:M70"/>
    <mergeCell ref="M96:M98"/>
    <mergeCell ref="M100:M102"/>
    <mergeCell ref="M103:M105"/>
    <mergeCell ref="M107:M109"/>
    <mergeCell ref="M110:M112"/>
    <mergeCell ref="M72:M74"/>
    <mergeCell ref="M75:M77"/>
    <mergeCell ref="M79:M81"/>
    <mergeCell ref="M82:M84"/>
    <mergeCell ref="M86:M88"/>
    <mergeCell ref="M89:M91"/>
    <mergeCell ref="M93:M95"/>
    <mergeCell ref="G82:G84"/>
    <mergeCell ref="G86:G88"/>
    <mergeCell ref="G58:G60"/>
    <mergeCell ref="G61:G63"/>
    <mergeCell ref="G65:G67"/>
    <mergeCell ref="G68:G70"/>
    <mergeCell ref="G72:G74"/>
    <mergeCell ref="G75:G77"/>
    <mergeCell ref="G79:G81"/>
    <mergeCell ref="E93:E95"/>
    <mergeCell ref="E96:E98"/>
    <mergeCell ref="E100:E102"/>
    <mergeCell ref="E75:E77"/>
    <mergeCell ref="E79:E81"/>
    <mergeCell ref="E82:E84"/>
    <mergeCell ref="E86:E88"/>
    <mergeCell ref="E89:E91"/>
    <mergeCell ref="G89:G91"/>
    <mergeCell ref="G93:G95"/>
    <mergeCell ref="E110:E112"/>
    <mergeCell ref="E114:E116"/>
    <mergeCell ref="G96:G98"/>
    <mergeCell ref="G100:G102"/>
    <mergeCell ref="E103:E105"/>
    <mergeCell ref="G103:G105"/>
    <mergeCell ref="E107:E109"/>
    <mergeCell ref="G107:G109"/>
    <mergeCell ref="G110:G11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6"/>
      <c r="B1" s="8" t="s">
        <v>954</v>
      </c>
      <c r="C1" s="10" t="s">
        <v>958</v>
      </c>
      <c r="D1" s="8" t="s">
        <v>961</v>
      </c>
      <c r="E1" s="10" t="s">
        <v>965</v>
      </c>
      <c r="F1" s="8" t="s">
        <v>967</v>
      </c>
      <c r="G1" s="10" t="s">
        <v>970</v>
      </c>
      <c r="H1" s="8" t="s">
        <v>973</v>
      </c>
      <c r="I1" s="10" t="s">
        <v>977</v>
      </c>
      <c r="J1" s="8" t="s">
        <v>978</v>
      </c>
      <c r="K1" s="10" t="s">
        <v>980</v>
      </c>
      <c r="L1" s="8" t="s">
        <v>982</v>
      </c>
      <c r="M1" s="10" t="s">
        <v>984</v>
      </c>
      <c r="N1" s="8" t="s">
        <v>985</v>
      </c>
      <c r="O1" s="10" t="s">
        <v>987</v>
      </c>
      <c r="P1" s="8" t="s">
        <v>989</v>
      </c>
      <c r="Q1" s="10" t="s">
        <v>991</v>
      </c>
      <c r="R1" s="14"/>
    </row>
    <row r="2" ht="26.25" customHeight="1">
      <c r="A2" s="15"/>
      <c r="B2" s="16" t="str">
        <f>image("https://i.imgur.com/XIu6jDl.png")</f>
        <v/>
      </c>
      <c r="C2" s="20" t="str">
        <f>image("https://pokejungle.net/sprites/normal/"&amp;B1&amp;".png")</f>
        <v/>
      </c>
      <c r="D2" s="16" t="str">
        <f>image("https://i.imgur.com/XIu6jDl.png")</f>
        <v/>
      </c>
      <c r="E2" s="20" t="str">
        <f>image("https://pokejungle.net/sprites/normal/"&amp;D1&amp;".png")</f>
        <v/>
      </c>
      <c r="F2" s="16" t="str">
        <f>image("https://i.imgur.com/XIu6jDl.png")</f>
        <v/>
      </c>
      <c r="G2" s="20" t="str">
        <f>image("https://pokejungle.net/sprites/normal/"&amp;F1&amp;".png")</f>
        <v/>
      </c>
      <c r="H2" s="24" t="str">
        <f>image("https://i.imgur.com/RqSOGo6.png")</f>
        <v/>
      </c>
      <c r="I2" s="20" t="str">
        <f>image("https://pokejungle.net/sprites/normal/"&amp;H1&amp;".png")</f>
        <v/>
      </c>
      <c r="J2" s="16" t="str">
        <f>image("https://i.imgur.com/RqSOGo6.png")</f>
        <v/>
      </c>
      <c r="K2" s="20" t="str">
        <f>image("https://pokejungle.net/sprites/normal/"&amp;J1&amp;".png")</f>
        <v/>
      </c>
      <c r="L2" s="28" t="str">
        <f>image("https://i.imgur.com/RqSOGo6.png")</f>
        <v/>
      </c>
      <c r="M2" s="20" t="str">
        <f>image("https://pokejungle.net/sprites/normal/"&amp;L1&amp;".png")</f>
        <v/>
      </c>
      <c r="N2" s="16" t="str">
        <f>image("https://i.imgur.com/XNzvO0H.png")</f>
        <v/>
      </c>
      <c r="O2" s="20" t="str">
        <f>image("https://pokejungle.net/sprites/normal/"&amp;N1&amp;".png")</f>
        <v/>
      </c>
      <c r="P2" s="16" t="str">
        <f>image("https://i.imgur.com/XNzvO0H.png")</f>
        <v/>
      </c>
      <c r="Q2" s="20" t="str">
        <f>image("https://pokejungle.net/sprites/normal/"&amp;P1&amp;".png")</f>
        <v/>
      </c>
      <c r="R2" s="33"/>
    </row>
    <row r="3" ht="26.25" customHeight="1">
      <c r="A3" s="15"/>
      <c r="B3" s="38" t="str">
        <f>image("https://i.imgur.com/lpOVjtL.png")</f>
        <v/>
      </c>
      <c r="C3" s="36"/>
      <c r="D3" s="35" t="str">
        <f>image("https://i.imgur.com/lpOVjtL.png")</f>
        <v/>
      </c>
      <c r="E3" s="36"/>
      <c r="F3" s="35" t="str">
        <f>image("https://i.imgur.com/lpOVjtL.png")</f>
        <v/>
      </c>
      <c r="G3" s="36"/>
      <c r="H3" s="35" t="str">
        <f>image("https://i.imgur.com/lKAfx6k.png")</f>
        <v/>
      </c>
      <c r="I3" s="36"/>
      <c r="J3" s="35" t="str">
        <f>image("https://i.imgur.com/rJhTvoD.png")</f>
        <v/>
      </c>
      <c r="K3" s="36"/>
      <c r="L3" s="35" t="str">
        <f>image("https://i.imgur.com/lKAfx6k.png")</f>
        <v/>
      </c>
      <c r="M3" s="36"/>
      <c r="N3" s="38"/>
      <c r="O3" s="36"/>
      <c r="P3" s="38"/>
      <c r="Q3" s="36"/>
      <c r="R3" s="33"/>
    </row>
    <row r="4" ht="26.25" customHeight="1">
      <c r="A4" s="15"/>
      <c r="B4" s="40"/>
      <c r="C4" s="41"/>
      <c r="D4" s="40"/>
      <c r="E4" s="41"/>
      <c r="F4" s="40"/>
      <c r="G4" s="41"/>
      <c r="H4" s="40"/>
      <c r="I4" s="41"/>
      <c r="J4" s="40"/>
      <c r="K4" s="41"/>
      <c r="L4" s="43"/>
      <c r="M4" s="41"/>
      <c r="N4" s="40"/>
      <c r="O4" s="41"/>
      <c r="P4" s="40"/>
      <c r="Q4" s="41"/>
      <c r="R4" s="33"/>
    </row>
    <row r="5" ht="26.25" customHeight="1">
      <c r="A5" s="15"/>
      <c r="B5" s="16" t="str">
        <f>image("https://i.imgur.com/EkqYYOB.png")</f>
        <v/>
      </c>
      <c r="C5" s="20" t="str">
        <f>image("https://pokejungle.net/sprites/shiny/"&amp;B1&amp;".png")</f>
        <v/>
      </c>
      <c r="D5" s="16" t="str">
        <f>image("https://i.imgur.com/EkqYYOB.png")</f>
        <v/>
      </c>
      <c r="E5" s="20" t="str">
        <f>image("https://pokejungle.net/sprites/shiny/"&amp;D1&amp;".png")</f>
        <v/>
      </c>
      <c r="F5" s="16" t="str">
        <f>image("https://i.imgur.com/XIu6jDl.png")</f>
        <v/>
      </c>
      <c r="G5" s="20" t="str">
        <f>image("https://pokejungle.net/sprites/shiny/"&amp;F1&amp;".png")</f>
        <v/>
      </c>
      <c r="H5" s="16" t="str">
        <f>image("https://i.imgur.com/JOd7Boe.png")</f>
        <v/>
      </c>
      <c r="I5" s="20" t="str">
        <f>image("https://pokejungle.net/sprites/shiny/"&amp;H1&amp;".png")</f>
        <v/>
      </c>
      <c r="J5" s="16" t="str">
        <f>image("https://i.imgur.com/JOd7Boe.png")</f>
        <v/>
      </c>
      <c r="K5" s="20" t="str">
        <f>image("https://pokejungle.net/sprites/shiny/"&amp;J1&amp;".png")</f>
        <v/>
      </c>
      <c r="L5" s="16" t="str">
        <f>image("https://i.imgur.com/JOd7Boe.png")</f>
        <v/>
      </c>
      <c r="M5" s="20" t="str">
        <f>image("https://pokejungle.net/sprites/shiny/"&amp;L1&amp;".png")</f>
        <v/>
      </c>
      <c r="N5" s="16" t="str">
        <f>image("https://i.imgur.com/XNzvO0H.png")</f>
        <v/>
      </c>
      <c r="O5" s="20" t="str">
        <f>image("https://pokejungle.net/sprites/shiny/"&amp;N1&amp;".png")</f>
        <v/>
      </c>
      <c r="P5" s="16" t="str">
        <f>image("https://i.imgur.com/XNzvO0H.png")</f>
        <v/>
      </c>
      <c r="Q5" s="20" t="str">
        <f>image("https://pokejungle.net/sprites/shiny/"&amp;P1&amp;".png")</f>
        <v/>
      </c>
      <c r="R5" s="33"/>
    </row>
    <row r="6" ht="26.25" customHeight="1">
      <c r="A6" s="15"/>
      <c r="B6" s="38"/>
      <c r="C6" s="36"/>
      <c r="D6" s="46"/>
      <c r="E6" s="36"/>
      <c r="F6" s="35" t="str">
        <f>image("https://i.imgur.com/lpOVjtL.png")</f>
        <v/>
      </c>
      <c r="G6" s="36"/>
      <c r="H6" s="46" t="str">
        <f>image("https://i.imgur.com/N2Wqr43.png")</f>
        <v/>
      </c>
      <c r="I6" s="36"/>
      <c r="J6" s="38" t="str">
        <f>image("https://i.imgur.com/N2Wqr43.png")</f>
        <v/>
      </c>
      <c r="K6" s="36"/>
      <c r="L6" s="46" t="str">
        <f>image("https://i.imgur.com/N2Wqr43.png")</f>
        <v/>
      </c>
      <c r="M6" s="36"/>
      <c r="N6" s="35" t="str">
        <f>image("https://i.imgur.com/IIajvuS.png")</f>
        <v/>
      </c>
      <c r="O6" s="36"/>
      <c r="P6" s="38"/>
      <c r="Q6" s="36"/>
      <c r="R6" s="33"/>
    </row>
    <row r="7" ht="26.25" customHeight="1">
      <c r="A7" s="15"/>
      <c r="B7" s="40"/>
      <c r="C7" s="41"/>
      <c r="D7" s="43"/>
      <c r="E7" s="41"/>
      <c r="F7" s="40" t="str">
        <f>image("https://i.imgur.com/N2Wqr43.png")</f>
        <v/>
      </c>
      <c r="G7" s="41"/>
      <c r="H7" s="43"/>
      <c r="I7" s="41"/>
      <c r="J7" s="40" t="str">
        <f>image("https://i.imgur.com/nNTmuH8.png")</f>
        <v/>
      </c>
      <c r="K7" s="41"/>
      <c r="L7" s="43" t="str">
        <f>image("https://i.imgur.com/nNTmuH8.png")</f>
        <v/>
      </c>
      <c r="M7" s="41"/>
      <c r="N7" s="40"/>
      <c r="O7" s="41"/>
      <c r="P7" s="40"/>
      <c r="Q7" s="41"/>
      <c r="R7" s="33"/>
    </row>
    <row r="8" ht="18.75" customHeight="1">
      <c r="A8" s="6"/>
      <c r="B8" s="8" t="s">
        <v>997</v>
      </c>
      <c r="C8" s="10" t="s">
        <v>998</v>
      </c>
      <c r="D8" s="8" t="s">
        <v>999</v>
      </c>
      <c r="E8" s="10" t="s">
        <v>1000</v>
      </c>
      <c r="F8" s="8" t="s">
        <v>1001</v>
      </c>
      <c r="G8" s="10" t="s">
        <v>1002</v>
      </c>
      <c r="H8" s="8" t="s">
        <v>1004</v>
      </c>
      <c r="I8" s="10" t="s">
        <v>1005</v>
      </c>
      <c r="J8" s="8" t="s">
        <v>1006</v>
      </c>
      <c r="K8" s="10" t="s">
        <v>1008</v>
      </c>
      <c r="L8" s="8" t="s">
        <v>1009</v>
      </c>
      <c r="M8" s="10" t="s">
        <v>1011</v>
      </c>
      <c r="N8" s="8" t="s">
        <v>1012</v>
      </c>
      <c r="O8" s="10" t="s">
        <v>1014</v>
      </c>
      <c r="P8" s="8" t="s">
        <v>1015</v>
      </c>
      <c r="Q8" s="10" t="s">
        <v>1016</v>
      </c>
      <c r="R8" s="14"/>
    </row>
    <row r="9" ht="26.25" customHeight="1">
      <c r="A9" s="15"/>
      <c r="B9" s="16" t="str">
        <f>image("https://i.imgur.com/XNzvO0H.png")</f>
        <v/>
      </c>
      <c r="C9" s="20" t="str">
        <f>image("https://pokejungle.net/sprites/normal/"&amp;B8&amp;".png")</f>
        <v/>
      </c>
      <c r="D9" s="16" t="str">
        <f>image("https://i.imgur.com/XIu6jDl.png")</f>
        <v/>
      </c>
      <c r="E9" s="20" t="str">
        <f>image("https://pokejungle.net/sprites/normal/"&amp;D8&amp;".png")</f>
        <v/>
      </c>
      <c r="F9" s="16" t="str">
        <f>image("https://i.imgur.com/XIu6jDl.png")</f>
        <v/>
      </c>
      <c r="G9" s="20" t="str">
        <f>image("https://pokejungle.net/sprites/normal/"&amp;F8&amp;".png")</f>
        <v/>
      </c>
      <c r="H9" s="24" t="str">
        <f>image("https://i.imgur.com/JOd7Boe.png")</f>
        <v/>
      </c>
      <c r="I9" s="20" t="str">
        <f>image("https://pokejungle.net/sprites/normal/"&amp;H8&amp;".png")</f>
        <v/>
      </c>
      <c r="J9" s="16" t="str">
        <f>image("https://i.imgur.com/rJhTvoD.png")</f>
        <v/>
      </c>
      <c r="K9" s="20" t="str">
        <f>image("https://pokejungle.net/sprites/normal/"&amp;J8&amp;".png")</f>
        <v/>
      </c>
      <c r="L9" s="28" t="str">
        <f>image("https://i.imgur.com/rJhTvoD.png")</f>
        <v/>
      </c>
      <c r="M9" s="20" t="str">
        <f>image("https://pokejungle.net/sprites/normal/"&amp;L8&amp;".png")</f>
        <v/>
      </c>
      <c r="N9" s="38" t="str">
        <f>image("https://i.imgur.com/beHgI95.png")</f>
        <v/>
      </c>
      <c r="O9" s="20" t="str">
        <f>image("https://pokejungle.net/sprites/normal/"&amp;N8&amp;".png")</f>
        <v/>
      </c>
      <c r="P9" s="38" t="str">
        <f>image("https://i.imgur.com/beHgI95.png")</f>
        <v/>
      </c>
      <c r="Q9" s="20" t="str">
        <f>image("https://pokejungle.net/sprites/normal/"&amp;P8&amp;".png")</f>
        <v/>
      </c>
      <c r="R9" s="33"/>
    </row>
    <row r="10" ht="26.25" customHeight="1">
      <c r="A10" s="15"/>
      <c r="B10" s="38" t="str">
        <f>image("https://i.imgur.com/JDgAgAO.png")</f>
        <v/>
      </c>
      <c r="C10" s="36"/>
      <c r="D10" s="35"/>
      <c r="E10" s="36"/>
      <c r="F10" s="35"/>
      <c r="G10" s="36"/>
      <c r="H10" s="37" t="str">
        <f>image("https://i.imgur.com/RqSOGo6.png")</f>
        <v/>
      </c>
      <c r="I10" s="36"/>
      <c r="J10" s="38" t="str">
        <f>image("https://i.imgur.com/RqSOGo6.png")</f>
        <v/>
      </c>
      <c r="K10" s="36"/>
      <c r="L10" s="35" t="str">
        <f>image("https://i.imgur.com/RqSOGo6.png")</f>
        <v/>
      </c>
      <c r="M10" s="36"/>
      <c r="N10" s="46" t="str">
        <f>image("https://i.imgur.com/EkqYYOB.png")</f>
        <v/>
      </c>
      <c r="O10" s="36"/>
      <c r="P10" s="38" t="str">
        <f>image("https://i.imgur.com/JOd7Boe.png")</f>
        <v/>
      </c>
      <c r="Q10" s="36"/>
      <c r="R10" s="33"/>
    </row>
    <row r="11" ht="26.25" customHeight="1">
      <c r="A11" s="15"/>
      <c r="B11" s="40" t="str">
        <f>image("https://i.imgur.com/ef1o2lD.png")</f>
        <v/>
      </c>
      <c r="C11" s="41"/>
      <c r="D11" s="40"/>
      <c r="E11" s="41"/>
      <c r="F11" s="40"/>
      <c r="G11" s="41"/>
      <c r="H11" s="40"/>
      <c r="I11" s="41"/>
      <c r="J11" s="40" t="str">
        <f>image("https://i.imgur.com/JOd7Boe.png")</f>
        <v/>
      </c>
      <c r="K11" s="41"/>
      <c r="L11" s="43" t="str">
        <f>image("https://i.imgur.com/JOd7Boe.png")</f>
        <v/>
      </c>
      <c r="M11" s="41"/>
      <c r="N11" s="40"/>
      <c r="O11" s="41"/>
      <c r="P11" s="40" t="str">
        <f>image("https://i.imgur.com/0ArMZjJ.png")</f>
        <v/>
      </c>
      <c r="Q11" s="41"/>
      <c r="R11" s="33"/>
    </row>
    <row r="12" ht="26.25" customHeight="1">
      <c r="A12" s="15"/>
      <c r="B12" s="16" t="str">
        <f>image("https://i.imgur.com/EkqYYOB.png")</f>
        <v/>
      </c>
      <c r="C12" s="20" t="str">
        <f>image("https://pokejungle.net/sprites/shiny/"&amp;B8&amp;".png")</f>
        <v/>
      </c>
      <c r="D12" s="16" t="str">
        <f>image("https://i.imgur.com/JOd7Boe.png")</f>
        <v/>
      </c>
      <c r="E12" s="20" t="str">
        <f>image("https://pokejungle.net/sprites/shiny/"&amp;D8&amp;".png")</f>
        <v/>
      </c>
      <c r="F12" s="16" t="str">
        <f>image("https://i.imgur.com/JOd7Boe.png")</f>
        <v/>
      </c>
      <c r="G12" s="20" t="str">
        <f>image("https://pokejungle.net/sprites/shiny/"&amp;F8&amp;".png")</f>
        <v/>
      </c>
      <c r="H12" s="16" t="str">
        <f>image("https://i.imgur.com/rJhTvoD.png")</f>
        <v/>
      </c>
      <c r="I12" s="20" t="str">
        <f>image("https://pokejungle.net/sprites/shiny/"&amp;H8&amp;".png")</f>
        <v/>
      </c>
      <c r="J12" s="16" t="str">
        <f>image("https://i.imgur.com/rJhTvoD.png")</f>
        <v/>
      </c>
      <c r="K12" s="20" t="str">
        <f>image("https://pokejungle.net/sprites/shiny/"&amp;J8&amp;".png")</f>
        <v/>
      </c>
      <c r="L12" s="16" t="str">
        <f>image("https://i.imgur.com/rJhTvoD.png")</f>
        <v/>
      </c>
      <c r="M12" s="20" t="str">
        <f>image("https://pokejungle.net/sprites/shiny/"&amp;L8&amp;".png")</f>
        <v/>
      </c>
      <c r="N12" s="16" t="str">
        <f>image("https://i.imgur.com/0ArMZjJ.png")</f>
        <v/>
      </c>
      <c r="O12" s="20" t="str">
        <f>image("https://pokejungle.net/sprites/shiny/"&amp;N8&amp;".png")</f>
        <v/>
      </c>
      <c r="P12" s="38" t="str">
        <f>image("https://i.imgur.com/beHgI95.png")</f>
        <v/>
      </c>
      <c r="Q12" s="20" t="str">
        <f>image("https://pokejungle.net/sprites/shiny/"&amp;P8&amp;".png")</f>
        <v/>
      </c>
      <c r="R12" s="33"/>
    </row>
    <row r="13" ht="26.25" customHeight="1">
      <c r="A13" s="15"/>
      <c r="B13" s="38" t="str">
        <f>image("https://i.imgur.com/JDgAgAO.png")</f>
        <v/>
      </c>
      <c r="C13" s="36"/>
      <c r="D13" s="46" t="str">
        <f>image("https://i.imgur.com/NkILW1J.png")</f>
        <v/>
      </c>
      <c r="E13" s="36"/>
      <c r="F13" s="35" t="str">
        <f>image("https://i.imgur.com/NkILW1J.png")</f>
        <v/>
      </c>
      <c r="G13" s="36"/>
      <c r="H13" s="46" t="str">
        <f>image("https://i.imgur.com/EkqYYOB.png")</f>
        <v/>
      </c>
      <c r="I13" s="36"/>
      <c r="J13" s="38" t="str">
        <f>image("https://i.imgur.com/EkqYYOB.png")</f>
        <v/>
      </c>
      <c r="K13" s="36"/>
      <c r="L13" s="46" t="str">
        <f>image("https://i.imgur.com/EkqYYOB.png")</f>
        <v/>
      </c>
      <c r="M13" s="36"/>
      <c r="N13" s="38" t="str">
        <f>image("https://i.imgur.com/beHgI95.png")</f>
        <v/>
      </c>
      <c r="O13" s="36"/>
      <c r="P13" s="38" t="str">
        <f>image("https://i.imgur.com/JOd7Boe.png")</f>
        <v/>
      </c>
      <c r="Q13" s="36"/>
      <c r="R13" s="33"/>
    </row>
    <row r="14" ht="26.25" customHeight="1">
      <c r="A14" s="15"/>
      <c r="B14" s="40"/>
      <c r="C14" s="41"/>
      <c r="D14" s="43" t="str">
        <f>image("https://i.imgur.com/0ArMZjJ.png")</f>
        <v/>
      </c>
      <c r="E14" s="41"/>
      <c r="F14" s="40" t="str">
        <f>image("https://i.imgur.com/0ArMZjJ.png")</f>
        <v/>
      </c>
      <c r="G14" s="41"/>
      <c r="H14" s="40" t="str">
        <f>image("https://i.imgur.com/lKAfx6k.png")</f>
        <v/>
      </c>
      <c r="I14" s="41"/>
      <c r="J14" s="40" t="str">
        <f>image("https://i.imgur.com/lKAfx6k.png")</f>
        <v/>
      </c>
      <c r="K14" s="41"/>
      <c r="L14" s="40" t="str">
        <f>image("https://i.imgur.com/lKAfx6k.png")</f>
        <v/>
      </c>
      <c r="M14" s="41"/>
      <c r="N14" s="40"/>
      <c r="O14" s="41"/>
      <c r="P14" s="40" t="str">
        <f>image("https://i.imgur.com/0ArMZjJ.png")</f>
        <v/>
      </c>
      <c r="Q14" s="41"/>
      <c r="R14" s="33"/>
    </row>
    <row r="15" ht="18.75" customHeight="1">
      <c r="A15" s="6"/>
      <c r="B15" s="8" t="s">
        <v>1054</v>
      </c>
      <c r="C15" s="10" t="s">
        <v>1055</v>
      </c>
      <c r="D15" s="8" t="s">
        <v>1056</v>
      </c>
      <c r="E15" s="10" t="s">
        <v>1057</v>
      </c>
      <c r="F15" s="8" t="s">
        <v>1058</v>
      </c>
      <c r="G15" s="10" t="s">
        <v>1059</v>
      </c>
      <c r="H15" s="8" t="s">
        <v>1058</v>
      </c>
      <c r="I15" s="10" t="s">
        <v>1060</v>
      </c>
      <c r="J15" s="8" t="s">
        <v>1061</v>
      </c>
      <c r="K15" s="10" t="s">
        <v>1062</v>
      </c>
      <c r="L15" s="8" t="s">
        <v>1061</v>
      </c>
      <c r="M15" s="10" t="s">
        <v>1063</v>
      </c>
      <c r="N15" s="8" t="s">
        <v>1061</v>
      </c>
      <c r="O15" s="10" t="s">
        <v>1064</v>
      </c>
      <c r="P15" s="8" t="s">
        <v>1061</v>
      </c>
      <c r="Q15" s="10" t="s">
        <v>1066</v>
      </c>
      <c r="R15" s="14"/>
    </row>
    <row r="16" ht="26.25" customHeight="1">
      <c r="A16" s="15"/>
      <c r="B16" s="80" t="s">
        <v>1079</v>
      </c>
      <c r="C16" s="81"/>
      <c r="D16" s="16" t="str">
        <f>image("https://i.imgur.com/RqSOGo6.png")</f>
        <v/>
      </c>
      <c r="E16" s="20" t="str">
        <f>image("https://pokejungle.net/sprites/normal/"&amp;D15&amp;".png")</f>
        <v/>
      </c>
      <c r="F16" s="16" t="str">
        <f>image("https://i.imgur.com/RqSOGo6.png")</f>
        <v/>
      </c>
      <c r="G16" s="20" t="str">
        <f>image("https://pokejungle.net/sprites/normal/"&amp;F15&amp;".png")</f>
        <v/>
      </c>
      <c r="H16" s="24" t="str">
        <f>image("https://i.imgur.com/RqSOGo6.png")</f>
        <v/>
      </c>
      <c r="I16" s="20" t="str">
        <f>image("https://pokejungle.net/sprites/normal/"&amp;H15&amp;"-f.png")</f>
        <v/>
      </c>
      <c r="J16" s="16" t="str">
        <f>image("https://i.imgur.com/bxys1sd.png")</f>
        <v/>
      </c>
      <c r="K16" s="20" t="str">
        <f>image("https://pokejungle.net/sprites/normal/"&amp;J15&amp;".png")</f>
        <v/>
      </c>
      <c r="L16" s="28" t="str">
        <f>image("https://i.imgur.com/beHgI95.png")</f>
        <v/>
      </c>
      <c r="M16" s="20" t="str">
        <f>image("https://pokejungle.net/sprites/normal/"&amp;L15&amp;"-1.png")</f>
        <v/>
      </c>
      <c r="N16" s="16" t="str">
        <f>image("https://i.imgur.com/RqSOGo6.png")</f>
        <v/>
      </c>
      <c r="O16" s="20" t="str">
        <f>image("https://pokejungle.net/sprites/normal/"&amp;N15&amp;"-2.png")</f>
        <v/>
      </c>
      <c r="P16" s="16" t="str">
        <f>image("https://i.imgur.com/SF5CZ6U.png")</f>
        <v/>
      </c>
      <c r="Q16" s="20" t="str">
        <f>image("https://pokejungle.net/sprites/normal/"&amp;P15&amp;"-3.png")</f>
        <v/>
      </c>
      <c r="R16" s="33"/>
    </row>
    <row r="17" ht="26.25" customHeight="1">
      <c r="A17" s="15"/>
      <c r="B17" s="25"/>
      <c r="C17" s="82"/>
      <c r="D17" s="35" t="str">
        <f>image("https://i.imgur.com/EkqYYOB.png")</f>
        <v/>
      </c>
      <c r="E17" s="36"/>
      <c r="F17" s="35" t="str">
        <f>image("https://i.imgur.com/lKAfx6k.png")</f>
        <v/>
      </c>
      <c r="G17" s="36"/>
      <c r="H17" s="37" t="str">
        <f>image("https://i.imgur.com/lKAfx6k.png")</f>
        <v/>
      </c>
      <c r="I17" s="36"/>
      <c r="J17" s="38" t="str">
        <f>image("https://i.imgur.com/0ArMZjJ.png")</f>
        <v/>
      </c>
      <c r="K17" s="36"/>
      <c r="L17" s="35" t="str">
        <f>image("https://i.imgur.com/0ArMZjJ.png")</f>
        <v/>
      </c>
      <c r="M17" s="36"/>
      <c r="N17" s="38" t="str">
        <f>image("https://i.imgur.com/0ArMZjJ.png")</f>
        <v/>
      </c>
      <c r="O17" s="36"/>
      <c r="P17" s="38" t="str">
        <f>image("https://i.imgur.com/0ArMZjJ.png")</f>
        <v/>
      </c>
      <c r="Q17" s="36"/>
      <c r="R17" s="33"/>
    </row>
    <row r="18" ht="26.25" customHeight="1">
      <c r="A18" s="15"/>
      <c r="B18" s="83"/>
      <c r="C18" s="30"/>
      <c r="D18" s="43" t="str">
        <f>image("https://i.imgur.com/rJhTvoD.png")</f>
        <v/>
      </c>
      <c r="E18" s="41"/>
      <c r="F18" s="43" t="str">
        <f>image("https://i.imgur.com/rJhTvoD.png")</f>
        <v/>
      </c>
      <c r="G18" s="41"/>
      <c r="H18" s="43" t="str">
        <f>image("https://i.imgur.com/rJhTvoD.png")</f>
        <v/>
      </c>
      <c r="I18" s="41"/>
      <c r="J18" s="40"/>
      <c r="K18" s="41"/>
      <c r="L18" s="43"/>
      <c r="M18" s="41"/>
      <c r="N18" s="40"/>
      <c r="O18" s="41"/>
      <c r="P18" s="40"/>
      <c r="Q18" s="41"/>
      <c r="R18" s="33"/>
    </row>
    <row r="19" ht="26.25" customHeight="1">
      <c r="A19" s="15"/>
      <c r="B19" s="80" t="s">
        <v>1079</v>
      </c>
      <c r="C19" s="19"/>
      <c r="D19" s="84" t="str">
        <f>image("https://i.imgur.com/0ArMZjJ.png")</f>
        <v/>
      </c>
      <c r="E19" s="20" t="str">
        <f>image("https://pokejungle.net/sprites/shiny/"&amp;D15&amp;".png")</f>
        <v/>
      </c>
      <c r="F19" s="16" t="str">
        <f>image("https://i.imgur.com/lKAfx6k.png")</f>
        <v/>
      </c>
      <c r="G19" s="20" t="str">
        <f>image("https://pokejungle.net/sprites/shiny/"&amp;F15&amp;".png")</f>
        <v/>
      </c>
      <c r="H19" s="16" t="str">
        <f>image("https://i.imgur.com/lKAfx6k.png")</f>
        <v/>
      </c>
      <c r="I19" s="20" t="str">
        <f>image("https://pokejungle.net/sprites/shiny/"&amp;H15&amp;"-f.png")</f>
        <v/>
      </c>
      <c r="J19" s="16" t="str">
        <f>image("https://i.imgur.com/bxys1sd.png")</f>
        <v/>
      </c>
      <c r="K19" s="20" t="str">
        <f>image("https://pokejungle.net/sprites/shiny/"&amp;J15&amp;".png")</f>
        <v/>
      </c>
      <c r="L19" s="16" t="str">
        <f>image("https://i.imgur.com/beHgI95.png")</f>
        <v/>
      </c>
      <c r="M19" s="20" t="str">
        <f>image("https://pokejungle.net/sprites/shiny/"&amp;L15&amp;"-1.png")</f>
        <v/>
      </c>
      <c r="N19" s="16" t="str">
        <f>image("https://i.imgur.com/RqSOGo6.png")</f>
        <v/>
      </c>
      <c r="O19" s="20" t="str">
        <f>image("https://pokejungle.net/sprites/shiny/"&amp;N15&amp;"-2.png")</f>
        <v/>
      </c>
      <c r="P19" s="16" t="str">
        <f>image("https://i.imgur.com/SF5CZ6U.png")</f>
        <v/>
      </c>
      <c r="Q19" s="20" t="str">
        <f>image("https://pokejungle.net/sprites/shiny/"&amp;P15&amp;"-3.png")</f>
        <v/>
      </c>
      <c r="R19" s="33"/>
    </row>
    <row r="20" ht="26.25" customHeight="1">
      <c r="A20" s="15"/>
      <c r="B20" s="25"/>
      <c r="C20" s="26"/>
      <c r="D20" s="85" t="str">
        <f>image("https://i.imgur.com/lKAfx6k.png")</f>
        <v/>
      </c>
      <c r="E20" s="36"/>
      <c r="F20" s="35" t="str">
        <f>image("https://i.imgur.com/RqSOGo6.png")</f>
        <v/>
      </c>
      <c r="G20" s="36"/>
      <c r="H20" s="46" t="str">
        <f>image("https://i.imgur.com/RqSOGo6.png")</f>
        <v/>
      </c>
      <c r="I20" s="36"/>
      <c r="J20" s="38" t="str">
        <f>image("https://i.imgur.com/0ArMZjJ.png")</f>
        <v/>
      </c>
      <c r="K20" s="36"/>
      <c r="L20" s="46" t="str">
        <f>image("https://i.imgur.com/0ArMZjJ.png")</f>
        <v/>
      </c>
      <c r="M20" s="36"/>
      <c r="N20" s="38" t="str">
        <f>image("https://i.imgur.com/0ArMZjJ.png")</f>
        <v/>
      </c>
      <c r="O20" s="36"/>
      <c r="P20" s="38" t="str">
        <f>image("https://i.imgur.com/0ArMZjJ.png")</f>
        <v/>
      </c>
      <c r="Q20" s="36"/>
      <c r="R20" s="33"/>
    </row>
    <row r="21" ht="26.25" customHeight="1">
      <c r="A21" s="15"/>
      <c r="B21" s="50"/>
      <c r="C21" s="52"/>
      <c r="D21" s="86"/>
      <c r="E21" s="41"/>
      <c r="F21" s="43" t="str">
        <f>image("https://i.imgur.com/rJhTvoD.png")</f>
        <v/>
      </c>
      <c r="G21" s="41"/>
      <c r="H21" s="43" t="str">
        <f>image("https://i.imgur.com/rJhTvoD.png")</f>
        <v/>
      </c>
      <c r="I21" s="41"/>
      <c r="J21" s="40"/>
      <c r="K21" s="41"/>
      <c r="L21" s="43"/>
      <c r="M21" s="41"/>
      <c r="N21" s="40"/>
      <c r="O21" s="41"/>
      <c r="P21" s="40"/>
      <c r="Q21" s="41"/>
      <c r="R21" s="33"/>
    </row>
    <row r="22" ht="18.75" customHeight="1">
      <c r="A22" s="6"/>
      <c r="B22" s="8" t="s">
        <v>1061</v>
      </c>
      <c r="C22" s="10" t="s">
        <v>1118</v>
      </c>
      <c r="D22" s="8" t="s">
        <v>1119</v>
      </c>
      <c r="E22" s="10" t="s">
        <v>1121</v>
      </c>
      <c r="F22" s="8" t="s">
        <v>1119</v>
      </c>
      <c r="G22" s="10" t="s">
        <v>1123</v>
      </c>
      <c r="H22" s="8" t="s">
        <v>1119</v>
      </c>
      <c r="I22" s="10" t="s">
        <v>1124</v>
      </c>
      <c r="J22" s="8" t="s">
        <v>1119</v>
      </c>
      <c r="K22" s="10" t="s">
        <v>1127</v>
      </c>
      <c r="L22" s="8" t="s">
        <v>1119</v>
      </c>
      <c r="M22" s="10" t="s">
        <v>1129</v>
      </c>
      <c r="N22" s="8" t="s">
        <v>1130</v>
      </c>
      <c r="O22" s="10" t="s">
        <v>1131</v>
      </c>
      <c r="P22" s="8" t="s">
        <v>1130</v>
      </c>
      <c r="Q22" s="10" t="s">
        <v>1133</v>
      </c>
      <c r="R22" s="14"/>
    </row>
    <row r="23" ht="26.25" customHeight="1">
      <c r="A23" s="15"/>
      <c r="B23" s="16" t="str">
        <f>image("https://i.imgur.com/0ArMZjJ.png")</f>
        <v/>
      </c>
      <c r="C23" s="20" t="str">
        <f>image("https://pokejungle.net/sprites/normal/"&amp;B22&amp;"-4.png")</f>
        <v/>
      </c>
      <c r="D23" s="16" t="str">
        <f>image("https://i.imgur.com/bxys1sd.png")</f>
        <v/>
      </c>
      <c r="E23" s="20" t="str">
        <f>image("https://pokejungle.net/sprites/normal/"&amp;D22&amp;".png")</f>
        <v/>
      </c>
      <c r="F23" s="16" t="str">
        <f>image("https://i.imgur.com/beHgI95.png")</f>
        <v/>
      </c>
      <c r="G23" s="20" t="str">
        <f>image("https://pokejungle.net/sprites/normal/"&amp;F22&amp;"-1.png")</f>
        <v/>
      </c>
      <c r="H23" s="24" t="str">
        <f>image("https://i.imgur.com/RqSOGo6.png")</f>
        <v/>
      </c>
      <c r="I23" s="20" t="str">
        <f>image("https://pokejungle.net/sprites/normal/"&amp;H22&amp;"-2.png")</f>
        <v/>
      </c>
      <c r="J23" s="16" t="str">
        <f>image("https://i.imgur.com/SF5CZ6U.png")</f>
        <v/>
      </c>
      <c r="K23" s="20" t="str">
        <f>image("https://pokejungle.net/sprites/normal/"&amp;J22&amp;"-3.png")</f>
        <v/>
      </c>
      <c r="L23" s="28" t="str">
        <f>image("https://i.imgur.com/0ArMZjJ.png")</f>
        <v/>
      </c>
      <c r="M23" s="20" t="str">
        <f>image("https://pokejungle.net/sprites/normal/"&amp;L22&amp;"-4.png")</f>
        <v/>
      </c>
      <c r="N23" s="16" t="str">
        <f>image("https://i.imgur.com/bxys1sd.png")</f>
        <v/>
      </c>
      <c r="O23" s="20" t="str">
        <f>image("https://pokejungle.net/sprites/normal/"&amp;N22&amp;".png")</f>
        <v/>
      </c>
      <c r="P23" s="16" t="str">
        <f>image("https://i.imgur.com/beHgI95.png")</f>
        <v/>
      </c>
      <c r="Q23" s="20" t="str">
        <f>image("https://pokejungle.net/sprites/normal/"&amp;P22&amp;"-1.png")</f>
        <v/>
      </c>
      <c r="R23" s="33"/>
    </row>
    <row r="24" ht="26.25" customHeight="1">
      <c r="A24" s="15"/>
      <c r="B24" s="38"/>
      <c r="C24" s="36"/>
      <c r="D24" s="35" t="str">
        <f>image("https://i.imgur.com/0ArMZjJ.png")</f>
        <v/>
      </c>
      <c r="E24" s="36"/>
      <c r="F24" s="35" t="str">
        <f>image("https://i.imgur.com/0ArMZjJ.png")</f>
        <v/>
      </c>
      <c r="G24" s="36"/>
      <c r="H24" s="37" t="str">
        <f>image("https://i.imgur.com/0ArMZjJ.png")</f>
        <v/>
      </c>
      <c r="I24" s="36"/>
      <c r="J24" s="38" t="str">
        <f>image("https://i.imgur.com/0ArMZjJ.png")</f>
        <v/>
      </c>
      <c r="K24" s="36"/>
      <c r="L24" s="35"/>
      <c r="M24" s="36"/>
      <c r="N24" s="38"/>
      <c r="O24" s="36"/>
      <c r="P24" s="38"/>
      <c r="Q24" s="36"/>
      <c r="R24" s="33"/>
    </row>
    <row r="25" ht="26.25" customHeight="1">
      <c r="A25" s="15"/>
      <c r="B25" s="40"/>
      <c r="C25" s="41"/>
      <c r="D25" s="40"/>
      <c r="E25" s="41"/>
      <c r="F25" s="40"/>
      <c r="G25" s="41"/>
      <c r="H25" s="40"/>
      <c r="I25" s="41"/>
      <c r="J25" s="40"/>
      <c r="K25" s="41"/>
      <c r="L25" s="43"/>
      <c r="M25" s="41"/>
      <c r="N25" s="40"/>
      <c r="O25" s="41"/>
      <c r="P25" s="40"/>
      <c r="Q25" s="41"/>
      <c r="R25" s="33"/>
    </row>
    <row r="26" ht="26.25" customHeight="1">
      <c r="A26" s="15"/>
      <c r="B26" s="16" t="str">
        <f>image("https://i.imgur.com/0ArMZjJ.png")</f>
        <v/>
      </c>
      <c r="C26" s="20" t="str">
        <f>image("https://pokejungle.net/sprites/shiny/"&amp;B22&amp;"-4.png")</f>
        <v/>
      </c>
      <c r="D26" s="16" t="str">
        <f>image("https://i.imgur.com/bxys1sd.png")</f>
        <v/>
      </c>
      <c r="E26" s="20" t="str">
        <f>image("https://pokejungle.net/sprites/shiny/"&amp;D22&amp;".png")</f>
        <v/>
      </c>
      <c r="F26" s="16" t="str">
        <f>image("https://i.imgur.com/beHgI95.png")</f>
        <v/>
      </c>
      <c r="G26" s="20" t="str">
        <f>image("https://pokejungle.net/sprites/shiny/"&amp;F22&amp;"-1.png")</f>
        <v/>
      </c>
      <c r="H26" s="16" t="str">
        <f>image("https://i.imgur.com/RqSOGo6.png")</f>
        <v/>
      </c>
      <c r="I26" s="20" t="str">
        <f>image("https://pokejungle.net/sprites/shiny/"&amp;H22&amp;"-2.png")</f>
        <v/>
      </c>
      <c r="J26" s="16" t="str">
        <f>image("https://i.imgur.com/SF5CZ6U.png")</f>
        <v/>
      </c>
      <c r="K26" s="20" t="str">
        <f>image("https://pokejungle.net/sprites/shiny/"&amp;J22&amp;"-3.png")</f>
        <v/>
      </c>
      <c r="L26" s="16" t="str">
        <f>image("https://i.imgur.com/0ArMZjJ.png")</f>
        <v/>
      </c>
      <c r="M26" s="20" t="str">
        <f>image("https://pokejungle.net/sprites/shiny/"&amp;L22&amp;"-4.png")</f>
        <v/>
      </c>
      <c r="N26" s="16" t="str">
        <f>image("https://i.imgur.com/bxys1sd.png")</f>
        <v/>
      </c>
      <c r="O26" s="20" t="str">
        <f>image("https://pokejungle.net/sprites/shiny/"&amp;N22&amp;".png")</f>
        <v/>
      </c>
      <c r="P26" s="16" t="str">
        <f>image("https://i.imgur.com/beHgI95.png")</f>
        <v/>
      </c>
      <c r="Q26" s="20" t="str">
        <f>image("https://pokejungle.net/sprites/shiny/"&amp;P22&amp;"-1.png")</f>
        <v/>
      </c>
      <c r="R26" s="33"/>
    </row>
    <row r="27" ht="26.25" customHeight="1">
      <c r="A27" s="15"/>
      <c r="B27" s="38"/>
      <c r="C27" s="36"/>
      <c r="D27" s="46" t="str">
        <f>image("https://i.imgur.com/0ArMZjJ.png")</f>
        <v/>
      </c>
      <c r="E27" s="36"/>
      <c r="F27" s="35" t="str">
        <f>image("https://i.imgur.com/0ArMZjJ.png")</f>
        <v/>
      </c>
      <c r="G27" s="36"/>
      <c r="H27" s="46" t="str">
        <f>image("https://i.imgur.com/0ArMZjJ.png")</f>
        <v/>
      </c>
      <c r="I27" s="36"/>
      <c r="J27" s="38" t="str">
        <f>image("https://i.imgur.com/0ArMZjJ.png")</f>
        <v/>
      </c>
      <c r="K27" s="36"/>
      <c r="L27" s="46"/>
      <c r="M27" s="36"/>
      <c r="N27" s="38" t="str">
        <f>image("https://i.imgur.com/XI18XGu.png")</f>
        <v/>
      </c>
      <c r="O27" s="36"/>
      <c r="P27" s="38" t="str">
        <f>image("https://i.imgur.com/XI18XGu.png")</f>
        <v/>
      </c>
      <c r="Q27" s="36"/>
      <c r="R27" s="33"/>
    </row>
    <row r="28" ht="26.25" customHeight="1">
      <c r="A28" s="15"/>
      <c r="B28" s="40"/>
      <c r="C28" s="41"/>
      <c r="D28" s="43"/>
      <c r="E28" s="41"/>
      <c r="F28" s="40"/>
      <c r="G28" s="41"/>
      <c r="H28" s="43"/>
      <c r="I28" s="41"/>
      <c r="J28" s="40"/>
      <c r="K28" s="41"/>
      <c r="L28" s="43"/>
      <c r="M28" s="41"/>
      <c r="N28" s="40" t="str">
        <f>image("https://i.imgur.com/nNTmuH8.png")</f>
        <v/>
      </c>
      <c r="O28" s="41"/>
      <c r="P28" s="40" t="str">
        <f>image("https://i.imgur.com/nNTmuH8.png")</f>
        <v/>
      </c>
      <c r="Q28" s="41"/>
      <c r="R28" s="33"/>
    </row>
    <row r="29" ht="18.75" customHeight="1">
      <c r="A29" s="6"/>
      <c r="B29" s="8" t="s">
        <v>1130</v>
      </c>
      <c r="C29" s="10" t="s">
        <v>1143</v>
      </c>
      <c r="D29" s="8" t="s">
        <v>1130</v>
      </c>
      <c r="E29" s="10" t="s">
        <v>1146</v>
      </c>
      <c r="F29" s="8" t="s">
        <v>1130</v>
      </c>
      <c r="G29" s="10" t="s">
        <v>1148</v>
      </c>
      <c r="H29" s="8" t="s">
        <v>1150</v>
      </c>
      <c r="I29" s="10" t="s">
        <v>1152</v>
      </c>
      <c r="J29" s="8" t="s">
        <v>1154</v>
      </c>
      <c r="K29" s="10" t="s">
        <v>1156</v>
      </c>
      <c r="L29" s="8" t="s">
        <v>1158</v>
      </c>
      <c r="M29" s="10" t="s">
        <v>1160</v>
      </c>
      <c r="N29" s="8" t="s">
        <v>1161</v>
      </c>
      <c r="O29" s="10" t="s">
        <v>1162</v>
      </c>
      <c r="P29" s="8" t="s">
        <v>1163</v>
      </c>
      <c r="Q29" s="10" t="s">
        <v>1164</v>
      </c>
      <c r="R29" s="14"/>
    </row>
    <row r="30" ht="26.25" customHeight="1">
      <c r="A30" s="15"/>
      <c r="B30" s="16" t="str">
        <f>image("https://i.imgur.com/RqSOGo6.png")</f>
        <v/>
      </c>
      <c r="C30" s="20" t="str">
        <f>image("https://pokejungle.net/sprites/normal/"&amp;B29&amp;"-2.png")</f>
        <v/>
      </c>
      <c r="D30" s="16" t="str">
        <f>image("https://i.imgur.com/SF5CZ6U.png")</f>
        <v/>
      </c>
      <c r="E30" s="20" t="str">
        <f>image("https://pokejungle.net/sprites/normal/"&amp;D29&amp;"-3.png")</f>
        <v/>
      </c>
      <c r="F30" s="16" t="str">
        <f>image("https://i.imgur.com/0ArMZjJ.png")</f>
        <v/>
      </c>
      <c r="G30" s="20" t="str">
        <f>image("https://pokejungle.net/sprites/normal/"&amp;F29&amp;"-4.png")</f>
        <v/>
      </c>
      <c r="H30" s="24" t="str">
        <f>image("https://i.imgur.com/XIu6jDl.png")</f>
        <v/>
      </c>
      <c r="I30" s="20" t="str">
        <f>image("https://pokejungle.net/sprites/normal/"&amp;H29&amp;".png")</f>
        <v/>
      </c>
      <c r="J30" s="16" t="str">
        <f>image("https://i.imgur.com/XIu6jDl.png")</f>
        <v/>
      </c>
      <c r="K30" s="20" t="str">
        <f>image("https://pokejungle.net/sprites/normal/"&amp;J29&amp;".png")</f>
        <v/>
      </c>
      <c r="L30" s="28" t="str">
        <f>image("https://i.imgur.com/JOd7Boe.png")</f>
        <v/>
      </c>
      <c r="M30" s="20" t="str">
        <f>image("https://pokejungle.net/sprites/normal/"&amp;L29&amp;".png")</f>
        <v/>
      </c>
      <c r="N30" s="16" t="str">
        <f>image("https://i.imgur.com/JOd7Boe.png")</f>
        <v/>
      </c>
      <c r="O30" s="20" t="str">
        <f>image("https://pokejungle.net/sprites/normal/"&amp;N29&amp;".png")</f>
        <v/>
      </c>
      <c r="P30" s="16" t="str">
        <f>image("https://i.imgur.com/0ArMZjJ.png")</f>
        <v/>
      </c>
      <c r="Q30" s="20" t="str">
        <f>image("https://pokejungle.net/sprites/normal/"&amp;P29&amp;".png")</f>
        <v/>
      </c>
      <c r="R30" s="33"/>
    </row>
    <row r="31" ht="26.25" customHeight="1">
      <c r="A31" s="15"/>
      <c r="B31" s="38"/>
      <c r="C31" s="36"/>
      <c r="D31" s="35"/>
      <c r="E31" s="36"/>
      <c r="F31" s="35"/>
      <c r="G31" s="36"/>
      <c r="H31" s="37" t="str">
        <f>image("https://i.imgur.com/lpOVjtL.png")</f>
        <v/>
      </c>
      <c r="I31" s="36"/>
      <c r="J31" s="38" t="str">
        <f>image("https://i.imgur.com/lpOVjtL.png")</f>
        <v/>
      </c>
      <c r="K31" s="36"/>
      <c r="L31" s="38" t="str">
        <f>image("https://i.imgur.com/beHgI95.png")</f>
        <v/>
      </c>
      <c r="M31" s="36"/>
      <c r="N31" s="38" t="str">
        <f>image("https://i.imgur.com/beHgI95.png")</f>
        <v/>
      </c>
      <c r="O31" s="36"/>
      <c r="P31" s="38"/>
      <c r="Q31" s="36"/>
      <c r="R31" s="33"/>
    </row>
    <row r="32" ht="26.25" customHeight="1">
      <c r="A32" s="15"/>
      <c r="B32" s="40"/>
      <c r="C32" s="41"/>
      <c r="D32" s="40"/>
      <c r="E32" s="41"/>
      <c r="F32" s="40"/>
      <c r="G32" s="41"/>
      <c r="H32" s="40" t="str">
        <f t="shared" ref="H32:H33" si="1">image("https://i.imgur.com/VQL4lPa.png")</f>
        <v/>
      </c>
      <c r="I32" s="41"/>
      <c r="J32" s="40" t="str">
        <f t="shared" ref="J32:J33" si="2">image("https://i.imgur.com/VQL4lPa.png")</f>
        <v/>
      </c>
      <c r="K32" s="41"/>
      <c r="L32" s="40" t="str">
        <f t="shared" ref="L32:L33" si="3">image("https://i.imgur.com/XIu6jDl.png")</f>
        <v/>
      </c>
      <c r="M32" s="41"/>
      <c r="N32" s="40" t="str">
        <f>image("https://i.imgur.com/XIu6jDl.png")</f>
        <v/>
      </c>
      <c r="O32" s="41"/>
      <c r="P32" s="40"/>
      <c r="Q32" s="41"/>
      <c r="R32" s="33"/>
    </row>
    <row r="33" ht="26.25" customHeight="1">
      <c r="A33" s="15"/>
      <c r="B33" s="16" t="str">
        <f>image("https://i.imgur.com/RqSOGo6.png")</f>
        <v/>
      </c>
      <c r="C33" s="20" t="str">
        <f>image("https://pokejungle.net/sprites/shiny/"&amp;B29&amp;"-2.png")</f>
        <v/>
      </c>
      <c r="D33" s="16" t="str">
        <f>image("https://i.imgur.com/SF5CZ6U.png")</f>
        <v/>
      </c>
      <c r="E33" s="20" t="str">
        <f>image("https://pokejungle.net/sprites/shiny/"&amp;D29&amp;"-3.png")</f>
        <v/>
      </c>
      <c r="F33" s="16" t="str">
        <f>image("https://i.imgur.com/0ArMZjJ.png")</f>
        <v/>
      </c>
      <c r="G33" s="20" t="str">
        <f>image("https://pokejungle.net/sprites/shiny/"&amp;F29&amp;"-4.png")</f>
        <v/>
      </c>
      <c r="H33" s="16" t="str">
        <f t="shared" si="1"/>
        <v/>
      </c>
      <c r="I33" s="20" t="str">
        <f>image("https://pokejungle.net/sprites/shiny/"&amp;H29&amp;".png")</f>
        <v/>
      </c>
      <c r="J33" s="16" t="str">
        <f t="shared" si="2"/>
        <v/>
      </c>
      <c r="K33" s="20" t="str">
        <f>image("https://pokejungle.net/sprites/shiny/"&amp;J29&amp;".png")</f>
        <v/>
      </c>
      <c r="L33" s="16" t="str">
        <f t="shared" si="3"/>
        <v/>
      </c>
      <c r="M33" s="20" t="str">
        <f>image("https://pokejungle.net/sprites/shiny/"&amp;L29&amp;".png")</f>
        <v/>
      </c>
      <c r="N33" s="16" t="str">
        <f>image("https://i.imgur.com/JOd7Boe.png")</f>
        <v/>
      </c>
      <c r="O33" s="20" t="str">
        <f>image("https://pokejungle.net/sprites/shiny/"&amp;N29&amp;".png")</f>
        <v/>
      </c>
      <c r="P33" s="16" t="str">
        <f>image("https://i.imgur.com/EkqYYOB.png")</f>
        <v/>
      </c>
      <c r="Q33" s="20" t="str">
        <f>image("https://pokejungle.net/sprites/shiny/"&amp;P29&amp;".png")</f>
        <v/>
      </c>
      <c r="R33" s="33"/>
    </row>
    <row r="34" ht="26.25" customHeight="1">
      <c r="A34" s="15"/>
      <c r="B34" s="38" t="str">
        <f>image("https://i.imgur.com/XI18XGu.png")</f>
        <v/>
      </c>
      <c r="C34" s="36"/>
      <c r="D34" s="46" t="str">
        <f>image("https://i.imgur.com/XI18XGu.png")</f>
        <v/>
      </c>
      <c r="E34" s="36"/>
      <c r="F34" s="35" t="str">
        <f>image("https://i.imgur.com/XI18XGu.png")</f>
        <v/>
      </c>
      <c r="G34" s="36"/>
      <c r="H34" s="46" t="str">
        <f>image("https://i.imgur.com/XIu6jDl.png")</f>
        <v/>
      </c>
      <c r="I34" s="36"/>
      <c r="J34" s="38" t="str">
        <f>image("https://i.imgur.com/XIu6jDl.png")</f>
        <v/>
      </c>
      <c r="K34" s="36"/>
      <c r="L34" s="38" t="str">
        <f>image("https://i.imgur.com/lpOVjtL.png")</f>
        <v/>
      </c>
      <c r="M34" s="36"/>
      <c r="N34" s="38" t="str">
        <f>image("https://i.imgur.com/lpOVjtL.png")</f>
        <v/>
      </c>
      <c r="O34" s="36"/>
      <c r="P34" s="38"/>
      <c r="Q34" s="36"/>
      <c r="R34" s="33"/>
    </row>
    <row r="35" ht="26.25" customHeight="1">
      <c r="A35" s="15"/>
      <c r="B35" s="40" t="str">
        <f>image("https://i.imgur.com/nNTmuH8.png")</f>
        <v/>
      </c>
      <c r="C35" s="41"/>
      <c r="D35" s="43" t="str">
        <f>image("https://i.imgur.com/nNTmuH8.png")</f>
        <v/>
      </c>
      <c r="E35" s="41"/>
      <c r="F35" s="40" t="str">
        <f>image("https://i.imgur.com/nNTmuH8.png")</f>
        <v/>
      </c>
      <c r="G35" s="41"/>
      <c r="H35" s="43"/>
      <c r="I35" s="41"/>
      <c r="J35" s="40" t="str">
        <f>image("https://i.imgur.com/lpOVjtL.png")</f>
        <v/>
      </c>
      <c r="K35" s="41"/>
      <c r="L35" s="43"/>
      <c r="M35" s="41"/>
      <c r="N35" s="40" t="str">
        <f>image("https://i.imgur.com/XIu6jDl.png")</f>
        <v/>
      </c>
      <c r="O35" s="41"/>
      <c r="P35" s="40"/>
      <c r="Q35" s="41"/>
      <c r="R35" s="33"/>
    </row>
    <row r="36" ht="18.75" customHeight="1">
      <c r="A36" s="6"/>
      <c r="B36" s="8" t="s">
        <v>1163</v>
      </c>
      <c r="C36" s="10" t="s">
        <v>1195</v>
      </c>
      <c r="D36" s="8" t="s">
        <v>1163</v>
      </c>
      <c r="E36" s="10" t="s">
        <v>1196</v>
      </c>
      <c r="F36" s="8" t="s">
        <v>1163</v>
      </c>
      <c r="G36" s="10" t="s">
        <v>1197</v>
      </c>
      <c r="H36" s="8" t="s">
        <v>1163</v>
      </c>
      <c r="I36" s="87" t="s">
        <v>1198</v>
      </c>
      <c r="J36" s="8" t="s">
        <v>1163</v>
      </c>
      <c r="K36" s="10" t="s">
        <v>1200</v>
      </c>
      <c r="L36" s="8" t="s">
        <v>1163</v>
      </c>
      <c r="M36" s="10" t="s">
        <v>1202</v>
      </c>
      <c r="N36" s="8" t="s">
        <v>1163</v>
      </c>
      <c r="O36" s="10" t="s">
        <v>1205</v>
      </c>
      <c r="P36" s="8" t="s">
        <v>1163</v>
      </c>
      <c r="Q36" s="10" t="s">
        <v>1208</v>
      </c>
      <c r="R36" s="14"/>
    </row>
    <row r="37" ht="26.25" customHeight="1">
      <c r="A37" s="15"/>
      <c r="B37" s="16" t="str">
        <f>image("https://i.imgur.com/a9HBljD.png")</f>
        <v/>
      </c>
      <c r="C37" s="20" t="str">
        <f>image("https://pokejungle.net/sprites/normal/"&amp;B36&amp;"-1.png")</f>
        <v/>
      </c>
      <c r="D37" s="16" t="str">
        <f>image("https://i.imgur.com/JDgAgAO.png")</f>
        <v/>
      </c>
      <c r="E37" s="20" t="str">
        <f>image("https://pokejungle.net/sprites/normal/"&amp;D36&amp;"-2.png")</f>
        <v/>
      </c>
      <c r="F37" s="16" t="str">
        <f>image("https://i.imgur.com/RqSOGo6.png")</f>
        <v/>
      </c>
      <c r="G37" s="20" t="str">
        <f>image("https://pokejungle.net/sprites/normal/"&amp;F36&amp;"-3.png")</f>
        <v/>
      </c>
      <c r="H37" s="16" t="str">
        <f>image("https://i.imgur.com/rJhTvoD.png")</f>
        <v/>
      </c>
      <c r="I37" s="20" t="str">
        <f>image("https://pokejungle.net/sprites/normal/"&amp;H36&amp;"-4.png")</f>
        <v/>
      </c>
      <c r="J37" s="16" t="str">
        <f>image("https://i.imgur.com/XI18XGu.png")</f>
        <v/>
      </c>
      <c r="K37" s="20" t="str">
        <f>image("https://pokejungle.net/sprites/normal/"&amp;J36&amp;"-5.png")</f>
        <v/>
      </c>
      <c r="L37" s="16" t="str">
        <f>image("https://i.imgur.com/VQL4lPa.png")</f>
        <v/>
      </c>
      <c r="M37" s="20" t="str">
        <f>image("https://pokejungle.net/sprites/normal/"&amp;L36&amp;"-6.png")</f>
        <v/>
      </c>
      <c r="N37" s="16" t="str">
        <f>image("https://i.imgur.com/IIajvuS.png")</f>
        <v/>
      </c>
      <c r="O37" s="20" t="str">
        <f>image("https://pokejungle.net/sprites/normal/"&amp;N36&amp;"-7.png")</f>
        <v/>
      </c>
      <c r="P37" s="16" t="str">
        <f>image("https://i.imgur.com/GyNf8BH.png")</f>
        <v/>
      </c>
      <c r="Q37" s="20" t="str">
        <f>image("https://pokejungle.net/sprites/normal/"&amp;P36&amp;"-8.png")</f>
        <v/>
      </c>
      <c r="R37" s="33"/>
    </row>
    <row r="38" ht="26.25" customHeight="1">
      <c r="A38" s="15"/>
      <c r="B38" s="38" t="str">
        <f>image("https://i.imgur.com/rAI9Gyi.png")</f>
        <v/>
      </c>
      <c r="C38" s="36"/>
      <c r="D38" s="46" t="str">
        <f>image("https://i.imgur.com/XzidFHI.png")</f>
        <v/>
      </c>
      <c r="E38" s="36"/>
      <c r="F38" s="38" t="str">
        <f>image("https://i.imgur.com/EkqYYOB.png")</f>
        <v/>
      </c>
      <c r="G38" s="36"/>
      <c r="H38" s="38" t="str">
        <f>image("https://i.imgur.com/beHgI95.png")</f>
        <v/>
      </c>
      <c r="I38" s="36"/>
      <c r="J38" s="38" t="str">
        <f>image("https://i.imgur.com/rAI9Gyi.png")</f>
        <v/>
      </c>
      <c r="K38" s="36"/>
      <c r="L38" s="46" t="str">
        <f>image("https://i.imgur.com/N2Wqr43.png")</f>
        <v/>
      </c>
      <c r="M38" s="36"/>
      <c r="N38" s="35" t="str">
        <f>image("https://i.imgur.com/XNzvO0H.png")</f>
        <v/>
      </c>
      <c r="O38" s="36"/>
      <c r="P38" s="38" t="str">
        <f>image("https://i.imgur.com/JOd7Boe.png")</f>
        <v/>
      </c>
      <c r="Q38" s="36"/>
      <c r="R38" s="33"/>
    </row>
    <row r="39" ht="26.25" customHeight="1">
      <c r="A39" s="15"/>
      <c r="B39" s="40" t="str">
        <f>image("https://i.imgur.com/bxys1sd.png")</f>
        <v/>
      </c>
      <c r="C39" s="41"/>
      <c r="D39" s="43" t="str">
        <f>image("https://i.imgur.com/SF5CZ6U.png")</f>
        <v/>
      </c>
      <c r="E39" s="41"/>
      <c r="F39" s="40" t="str">
        <f>image("https://i.imgur.com/beHgI95.png")</f>
        <v/>
      </c>
      <c r="G39" s="41"/>
      <c r="H39" s="40"/>
      <c r="I39" s="41"/>
      <c r="J39" s="40" t="str">
        <f>image("https://i.imgur.com/bxys1sd.png")</f>
        <v/>
      </c>
      <c r="K39" s="41"/>
      <c r="L39" s="40" t="str">
        <f>image("https://i.imgur.com/beHgI95.png")</f>
        <v/>
      </c>
      <c r="M39" s="41"/>
      <c r="N39" s="43" t="str">
        <f>image("https://i.imgur.com/SF5CZ6U.png")</f>
        <v/>
      </c>
      <c r="O39" s="41"/>
      <c r="P39" s="40" t="str">
        <f>image("https://i.imgur.com/bxys1sd.png")</f>
        <v/>
      </c>
      <c r="Q39" s="41"/>
      <c r="R39" s="33"/>
    </row>
    <row r="40" ht="26.25" customHeight="1">
      <c r="A40" s="15"/>
      <c r="B40" s="16" t="str">
        <f>image("https://i.imgur.com/a9HBljD.png")</f>
        <v/>
      </c>
      <c r="C40" s="20" t="str">
        <f>image("https://pokejungle.net/sprites/shiny/"&amp;B36&amp;"-1.png")</f>
        <v/>
      </c>
      <c r="D40" s="16" t="str">
        <f>image("https://i.imgur.com/JDgAgAO.png")</f>
        <v/>
      </c>
      <c r="E40" s="20" t="str">
        <f>image("https://pokejungle.net/sprites/shiny/"&amp;D36&amp;"-2.png")</f>
        <v/>
      </c>
      <c r="F40" s="16" t="str">
        <f>image("https://i.imgur.com/RqSOGo6.png")</f>
        <v/>
      </c>
      <c r="G40" s="20" t="str">
        <f>image("https://pokejungle.net/sprites/shiny/"&amp;F36&amp;"-3.png")</f>
        <v/>
      </c>
      <c r="H40" s="16" t="str">
        <f>image("https://i.imgur.com/rJhTvoD.png")</f>
        <v/>
      </c>
      <c r="I40" s="20" t="str">
        <f>image("https://pokejungle.net/sprites/shiny/"&amp;H36&amp;"-4.png")</f>
        <v/>
      </c>
      <c r="J40" s="16" t="str">
        <f>image("https://i.imgur.com/XI18XGu.png")</f>
        <v/>
      </c>
      <c r="K40" s="20" t="str">
        <f>image("https://pokejungle.net/sprites/shiny/"&amp;J36&amp;"-5.png")</f>
        <v/>
      </c>
      <c r="L40" s="24" t="str">
        <f>image("https://i.imgur.com/N2Wqr43.png")</f>
        <v/>
      </c>
      <c r="M40" s="20" t="str">
        <f>image("https://pokejungle.net/sprites/shiny/"&amp;L36&amp;"-6.png")</f>
        <v/>
      </c>
      <c r="N40" s="16" t="str">
        <f>image("https://i.imgur.com/IIajvuS.png")</f>
        <v/>
      </c>
      <c r="O40" s="20" t="str">
        <f>image("https://pokejungle.net/sprites/shiny/"&amp;N36&amp;"-7.png")</f>
        <v/>
      </c>
      <c r="P40" s="16" t="str">
        <f>image("https://i.imgur.com/GyNf8BH.png")</f>
        <v/>
      </c>
      <c r="Q40" s="20" t="str">
        <f>image("https://pokejungle.net/sprites/shiny/"&amp;P36&amp;"-8.png")</f>
        <v/>
      </c>
      <c r="R40" s="33"/>
    </row>
    <row r="41" ht="26.25" customHeight="1">
      <c r="A41" s="15"/>
      <c r="B41" s="38" t="str">
        <f>image("https://i.imgur.com/rAI9Gyi.png")</f>
        <v/>
      </c>
      <c r="C41" s="36"/>
      <c r="D41" s="46" t="str">
        <f>image("https://i.imgur.com/XzidFHI.png")</f>
        <v/>
      </c>
      <c r="E41" s="36"/>
      <c r="F41" s="38" t="str">
        <f>image("https://i.imgur.com/EkqYYOB.png")</f>
        <v/>
      </c>
      <c r="G41" s="36"/>
      <c r="H41" s="38" t="str">
        <f>image("https://i.imgur.com/beHgI95.png")</f>
        <v/>
      </c>
      <c r="I41" s="36"/>
      <c r="J41" s="38" t="str">
        <f>image("https://i.imgur.com/rAI9Gyi.png")</f>
        <v/>
      </c>
      <c r="K41" s="36"/>
      <c r="L41" s="38" t="str">
        <f>image("https://i.imgur.com/VQL4lPa.png")</f>
        <v/>
      </c>
      <c r="M41" s="36"/>
      <c r="N41" s="35" t="str">
        <f>image("https://i.imgur.com/XNzvO0H.png")</f>
        <v/>
      </c>
      <c r="O41" s="36"/>
      <c r="P41" s="38" t="str">
        <f>image("https://i.imgur.com/JOd7Boe.png")</f>
        <v/>
      </c>
      <c r="Q41" s="36"/>
      <c r="R41" s="33"/>
    </row>
    <row r="42" ht="26.25" customHeight="1">
      <c r="A42" s="15"/>
      <c r="B42" s="40" t="str">
        <f>image("https://i.imgur.com/bxys1sd.png")</f>
        <v/>
      </c>
      <c r="C42" s="41"/>
      <c r="D42" s="43" t="str">
        <f>image("https://i.imgur.com/SF5CZ6U.png")</f>
        <v/>
      </c>
      <c r="E42" s="41"/>
      <c r="F42" s="40" t="str">
        <f>image("https://i.imgur.com/beHgI95.png")</f>
        <v/>
      </c>
      <c r="G42" s="41"/>
      <c r="H42" s="40"/>
      <c r="I42" s="41"/>
      <c r="J42" s="40" t="str">
        <f>image("https://i.imgur.com/bxys1sd.png")</f>
        <v/>
      </c>
      <c r="K42" s="41"/>
      <c r="L42" s="40" t="str">
        <f>image("https://i.imgur.com/beHgI95.png")</f>
        <v/>
      </c>
      <c r="M42" s="41"/>
      <c r="N42" s="43" t="str">
        <f>image("https://i.imgur.com/SF5CZ6U.png")</f>
        <v/>
      </c>
      <c r="O42" s="41"/>
      <c r="P42" s="40" t="str">
        <f>image("https://i.imgur.com/bxys1sd.png")</f>
        <v/>
      </c>
      <c r="Q42" s="41"/>
      <c r="R42" s="33"/>
    </row>
    <row r="43" ht="18.75" customHeight="1">
      <c r="A43" s="6"/>
      <c r="B43" s="8" t="s">
        <v>1163</v>
      </c>
      <c r="C43" s="10" t="s">
        <v>1220</v>
      </c>
      <c r="D43" s="8" t="s">
        <v>1221</v>
      </c>
      <c r="E43" s="10" t="s">
        <v>1222</v>
      </c>
      <c r="F43" s="8" t="s">
        <v>1223</v>
      </c>
      <c r="G43" s="10" t="s">
        <v>1224</v>
      </c>
      <c r="H43" s="8" t="s">
        <v>1223</v>
      </c>
      <c r="I43" s="68" t="s">
        <v>1225</v>
      </c>
      <c r="J43" s="8" t="s">
        <v>1226</v>
      </c>
      <c r="K43" s="10" t="s">
        <v>1227</v>
      </c>
      <c r="L43" s="8" t="s">
        <v>1228</v>
      </c>
      <c r="M43" s="10" t="s">
        <v>1229</v>
      </c>
      <c r="N43" s="8" t="s">
        <v>1230</v>
      </c>
      <c r="O43" s="10" t="s">
        <v>1231</v>
      </c>
      <c r="P43" s="8" t="s">
        <v>1232</v>
      </c>
      <c r="Q43" s="10" t="s">
        <v>1233</v>
      </c>
      <c r="R43" s="14"/>
    </row>
    <row r="44" ht="26.25" customHeight="1">
      <c r="A44" s="15"/>
      <c r="B44" s="16" t="str">
        <f>image("https://i.imgur.com/SF5CZ6U.png")</f>
        <v/>
      </c>
      <c r="C44" s="20" t="str">
        <f>image("https://pokejungle.net/sprites/normal/"&amp;B43&amp;"-9.png")</f>
        <v/>
      </c>
      <c r="D44" s="16" t="str">
        <f>image("https://i.imgur.com/rAI9Gyi.png")</f>
        <v/>
      </c>
      <c r="E44" s="20" t="str">
        <f>image("https://pokejungle.net/sprites/normal/"&amp;D43&amp;".png")</f>
        <v/>
      </c>
      <c r="F44" s="16" t="str">
        <f>image("https://i.imgur.com/SF5CZ6U.png")</f>
        <v/>
      </c>
      <c r="G44" s="20" t="str">
        <f>image("https://pokejungle.net/sprites/normal/"&amp;F43&amp;".png")</f>
        <v/>
      </c>
      <c r="H44" s="16" t="str">
        <f>image("https://i.imgur.com/SF5CZ6U.png")</f>
        <v/>
      </c>
      <c r="I44" s="20" t="str">
        <f>image("https://pokejungle.net/sprites/normal/"&amp;H43&amp;"-f.png")</f>
        <v/>
      </c>
      <c r="J44" s="24" t="str">
        <f>image("https://i.imgur.com/NkILW1J.png")</f>
        <v/>
      </c>
      <c r="K44" s="20" t="str">
        <f>image("https://pokejungle.net/sprites/normal/"&amp;J43&amp;".png")</f>
        <v/>
      </c>
      <c r="L44" s="16" t="str">
        <f>image("https://i.imgur.com/a9HBljD.png")</f>
        <v/>
      </c>
      <c r="M44" s="20" t="str">
        <f>image("https://pokejungle.net/sprites/normal/"&amp;L43&amp;".png")</f>
        <v/>
      </c>
      <c r="N44" s="28" t="str">
        <f>image("https://i.imgur.com/EkqYYOB.png")</f>
        <v/>
      </c>
      <c r="O44" s="20" t="str">
        <f>image("https://pokejungle.net/sprites/normal/"&amp;N43&amp;".png")</f>
        <v/>
      </c>
      <c r="P44" s="16" t="str">
        <f>image("https://i.imgur.com/a9HBljD.png")</f>
        <v/>
      </c>
      <c r="Q44" s="20" t="str">
        <f>image("https://pokejungle.net/sprites/normal/"&amp;P43&amp;".png")</f>
        <v/>
      </c>
      <c r="R44" s="33"/>
    </row>
    <row r="45" ht="26.25" customHeight="1">
      <c r="A45" s="15"/>
      <c r="B45" s="46" t="str">
        <f>image("https://i.imgur.com/XzidFHI.png")</f>
        <v/>
      </c>
      <c r="C45" s="36"/>
      <c r="D45" s="38" t="str">
        <f>image("https://i.imgur.com/XI18XGu.png")</f>
        <v/>
      </c>
      <c r="E45" s="36"/>
      <c r="F45" s="35" t="str">
        <f>image("https://i.imgur.com/XNzvO0H.png")</f>
        <v/>
      </c>
      <c r="G45" s="36"/>
      <c r="H45" s="35" t="str">
        <f>image("https://i.imgur.com/XNzvO0H.png")</f>
        <v/>
      </c>
      <c r="I45" s="36"/>
      <c r="J45" s="37" t="str">
        <f>image("https://i.imgur.com/EkqYYOB.png")</f>
        <v/>
      </c>
      <c r="K45" s="36"/>
      <c r="L45" s="38" t="str">
        <f>image("https://i.imgur.com/EkqYYOB.png")</f>
        <v/>
      </c>
      <c r="M45" s="36"/>
      <c r="N45" s="35" t="str">
        <f>image("https://i.imgur.com/N2Wqr43.png")</f>
        <v/>
      </c>
      <c r="O45" s="36"/>
      <c r="P45" s="38" t="str">
        <f>image("https://i.imgur.com/XI18XGu.png")</f>
        <v/>
      </c>
      <c r="Q45" s="36"/>
      <c r="R45" s="33"/>
    </row>
    <row r="46" ht="26.25" customHeight="1">
      <c r="A46" s="15"/>
      <c r="B46" s="43"/>
      <c r="C46" s="41"/>
      <c r="D46" s="40"/>
      <c r="E46" s="41"/>
      <c r="F46" s="40"/>
      <c r="G46" s="41"/>
      <c r="H46" s="40" t="str">
        <f t="shared" ref="H46:H47" si="4">image("https://i.imgur.com/0ArMZjJ.png")</f>
        <v/>
      </c>
      <c r="I46" s="41"/>
      <c r="J46" s="40"/>
      <c r="K46" s="41"/>
      <c r="L46" s="40" t="str">
        <f>image("https://i.imgur.com/N2Wqr43.png")</f>
        <v/>
      </c>
      <c r="M46" s="41"/>
      <c r="N46" s="40" t="str">
        <f>image("https://i.imgur.com/nNTmuH8.png")</f>
        <v/>
      </c>
      <c r="O46" s="41"/>
      <c r="P46" s="40" t="str">
        <f>image("https://i.imgur.com/rAI9Gyi.png")</f>
        <v/>
      </c>
      <c r="Q46" s="41"/>
      <c r="R46" s="33"/>
    </row>
    <row r="47" ht="26.25" customHeight="1">
      <c r="A47" s="15"/>
      <c r="B47" s="16" t="str">
        <f>image("https://i.imgur.com/SF5CZ6U.png")</f>
        <v/>
      </c>
      <c r="C47" s="20" t="str">
        <f>image("https://pokejungle.net/sprites/shiny/"&amp;B43&amp;"-9.png")</f>
        <v/>
      </c>
      <c r="D47" s="16" t="str">
        <f>image("https://i.imgur.com/a9HBljD.png")</f>
        <v/>
      </c>
      <c r="E47" s="20" t="str">
        <f>image("https://pokejungle.net/sprites/shiny/"&amp;D43&amp;".png")</f>
        <v/>
      </c>
      <c r="F47" s="16" t="str">
        <f>image("https://i.imgur.com/rJhTvoD.png")</f>
        <v/>
      </c>
      <c r="G47" s="20" t="str">
        <f>image("https://pokejungle.net/sprites/shiny/"&amp;F43&amp;".png")</f>
        <v/>
      </c>
      <c r="H47" s="16" t="str">
        <f t="shared" si="4"/>
        <v/>
      </c>
      <c r="I47" s="20" t="str">
        <f>image("https://pokejungle.net/sprites/shiny/"&amp;H43&amp;"-f.png")</f>
        <v/>
      </c>
      <c r="J47" s="16" t="str">
        <f>image("https://i.imgur.com/EkqYYOB.png")</f>
        <v/>
      </c>
      <c r="K47" s="20" t="str">
        <f>image("https://pokejungle.net/sprites/shiny/"&amp;J43&amp;".png")</f>
        <v/>
      </c>
      <c r="L47" s="16" t="str">
        <f>image("https://i.imgur.com/EkqYYOB.png")</f>
        <v/>
      </c>
      <c r="M47" s="20" t="str">
        <f>image("https://pokejungle.net/sprites/shiny/"&amp;L43&amp;".png")</f>
        <v/>
      </c>
      <c r="N47" s="16" t="str">
        <f>image("https://i.imgur.com/EkqYYOB.png")</f>
        <v/>
      </c>
      <c r="O47" s="20" t="str">
        <f>image("https://pokejungle.net/sprites/shiny/"&amp;N43&amp;".png")</f>
        <v/>
      </c>
      <c r="P47" s="16" t="str">
        <f>image("https://i.imgur.com/XI18XGu.png")</f>
        <v/>
      </c>
      <c r="Q47" s="20" t="str">
        <f>image("https://pokejungle.net/sprites/shiny/"&amp;P43&amp;".png")</f>
        <v/>
      </c>
      <c r="R47" s="33"/>
    </row>
    <row r="48" ht="26.25" customHeight="1">
      <c r="A48" s="15"/>
      <c r="B48" s="46" t="str">
        <f>image("https://i.imgur.com/XzidFHI.png")</f>
        <v/>
      </c>
      <c r="C48" s="36"/>
      <c r="D48" s="38" t="str">
        <f>image("https://i.imgur.com/XI18XGu.png")</f>
        <v/>
      </c>
      <c r="E48" s="36"/>
      <c r="F48" s="46" t="str">
        <f>image("https://i.imgur.com/0ArMZjJ.png")</f>
        <v/>
      </c>
      <c r="G48" s="36"/>
      <c r="H48" s="35" t="str">
        <f>image("https://i.imgur.com/rJhTvoD.png")</f>
        <v/>
      </c>
      <c r="I48" s="36"/>
      <c r="J48" s="46" t="str">
        <f>image("https://i.imgur.com/ef1o2lD.png")</f>
        <v/>
      </c>
      <c r="K48" s="36"/>
      <c r="L48" s="35" t="str">
        <f>image("https://i.imgur.com/rJhTvoD.png")</f>
        <v/>
      </c>
      <c r="M48" s="36"/>
      <c r="N48" s="35" t="str">
        <f>image("https://i.imgur.com/rJhTvoD.png")</f>
        <v/>
      </c>
      <c r="O48" s="36"/>
      <c r="P48" s="38" t="str">
        <f>image("https://i.imgur.com/rAI9Gyi.png")</f>
        <v/>
      </c>
      <c r="Q48" s="36"/>
      <c r="R48" s="33"/>
    </row>
    <row r="49" ht="26.25" customHeight="1">
      <c r="A49" s="15"/>
      <c r="B49" s="43"/>
      <c r="C49" s="41"/>
      <c r="D49" s="40" t="str">
        <f>image("https://i.imgur.com/rAI9Gyi.png")</f>
        <v/>
      </c>
      <c r="E49" s="41"/>
      <c r="F49" s="43"/>
      <c r="G49" s="41"/>
      <c r="H49" s="40"/>
      <c r="I49" s="41"/>
      <c r="J49" s="43"/>
      <c r="K49" s="41"/>
      <c r="L49" s="40"/>
      <c r="M49" s="41"/>
      <c r="N49" s="43"/>
      <c r="O49" s="41"/>
      <c r="P49" s="40" t="str">
        <f>image("https://i.imgur.com/nNTmuH8.png")</f>
        <v/>
      </c>
      <c r="Q49" s="41"/>
      <c r="R49" s="33"/>
    </row>
    <row r="50" ht="18.75" customHeight="1">
      <c r="A50" s="6"/>
      <c r="B50" s="8" t="s">
        <v>1270</v>
      </c>
      <c r="C50" s="10" t="s">
        <v>1271</v>
      </c>
      <c r="D50" s="8" t="s">
        <v>1272</v>
      </c>
      <c r="E50" s="10" t="s">
        <v>1273</v>
      </c>
      <c r="F50" s="8" t="s">
        <v>1274</v>
      </c>
      <c r="G50" s="10" t="s">
        <v>1275</v>
      </c>
      <c r="H50" s="8" t="s">
        <v>1276</v>
      </c>
      <c r="I50" s="10" t="s">
        <v>1277</v>
      </c>
      <c r="J50" s="8" t="s">
        <v>1278</v>
      </c>
      <c r="K50" s="10" t="s">
        <v>1279</v>
      </c>
      <c r="L50" s="8" t="s">
        <v>1280</v>
      </c>
      <c r="M50" s="10" t="s">
        <v>1281</v>
      </c>
      <c r="N50" s="8" t="s">
        <v>1282</v>
      </c>
      <c r="O50" s="10" t="s">
        <v>1283</v>
      </c>
      <c r="P50" s="8" t="s">
        <v>1284</v>
      </c>
      <c r="Q50" s="10" t="s">
        <v>1285</v>
      </c>
      <c r="R50" s="14"/>
    </row>
    <row r="51" ht="26.25" customHeight="1">
      <c r="A51" s="15"/>
      <c r="B51" s="16" t="str">
        <f>image("https://i.imgur.com/a9HBljD.png")</f>
        <v/>
      </c>
      <c r="C51" s="20" t="str">
        <f>image("https://pokejungle.net/sprites/normal/"&amp;B50&amp;".png")</f>
        <v/>
      </c>
      <c r="D51" s="16" t="str">
        <f>image("https://i.imgur.com/a9HBljD.png")</f>
        <v/>
      </c>
      <c r="E51" s="20" t="str">
        <f>image("https://pokejungle.net/sprites/normal/"&amp;D50&amp;".png")</f>
        <v/>
      </c>
      <c r="F51" s="16" t="str">
        <f>image("https://i.imgur.com/a9HBljD.png")</f>
        <v/>
      </c>
      <c r="G51" s="20" t="str">
        <f>image("https://pokejungle.net/sprites/normal/"&amp;F50&amp;".png")</f>
        <v/>
      </c>
      <c r="H51" s="16" t="str">
        <f>image("https://i.imgur.com/rAI9Gyi.png")</f>
        <v/>
      </c>
      <c r="I51" s="20" t="str">
        <f>image("https://pokejungle.net/sprites/normal/"&amp;H50&amp;".png")</f>
        <v/>
      </c>
      <c r="J51" s="24" t="str">
        <f>image("https://i.imgur.com/rAI9Gyi.png")</f>
        <v/>
      </c>
      <c r="K51" s="20" t="str">
        <f>image("https://pokejungle.net/sprites/normal/"&amp;J50&amp;".png")</f>
        <v/>
      </c>
      <c r="L51" s="16" t="str">
        <f>image("https://i.imgur.com/GyNf8BH.png")</f>
        <v/>
      </c>
      <c r="M51" s="20" t="str">
        <f>image("https://pokejungle.net/sprites/normal/"&amp;L50&amp;".png")</f>
        <v/>
      </c>
      <c r="N51" s="16" t="str">
        <f>image("https://i.imgur.com/GyNf8BH.png")</f>
        <v/>
      </c>
      <c r="O51" s="20" t="str">
        <f>image("https://pokejungle.net/sprites/normal/"&amp;N50&amp;".png")</f>
        <v/>
      </c>
      <c r="P51" s="16" t="str">
        <f>image("https://i.imgur.com/XI18XGu.png")</f>
        <v/>
      </c>
      <c r="Q51" s="20" t="str">
        <f>image("https://pokejungle.net/sprites/normal/"&amp;P50&amp;".png")</f>
        <v/>
      </c>
      <c r="R51" s="33"/>
    </row>
    <row r="52" ht="26.25" customHeight="1">
      <c r="A52" s="15"/>
      <c r="B52" s="38" t="str">
        <f>image("https://i.imgur.com/XI18XGu.png")</f>
        <v/>
      </c>
      <c r="C52" s="36"/>
      <c r="D52" s="38" t="str">
        <f>image("https://i.imgur.com/0ArMZjJ.png")</f>
        <v/>
      </c>
      <c r="E52" s="36"/>
      <c r="F52" s="35" t="str">
        <f>image("https://i.imgur.com/0ArMZjJ.png")</f>
        <v/>
      </c>
      <c r="G52" s="36"/>
      <c r="H52" s="35" t="str">
        <f>image("https://i.imgur.com/0ArMZjJ.png")</f>
        <v/>
      </c>
      <c r="I52" s="36"/>
      <c r="J52" s="37" t="str">
        <f>image("https://i.imgur.com/0ArMZjJ.png")</f>
        <v/>
      </c>
      <c r="K52" s="36"/>
      <c r="L52" s="38" t="str">
        <f>image("https://i.imgur.com/XNzvO0H.png")</f>
        <v/>
      </c>
      <c r="M52" s="36"/>
      <c r="N52" s="38" t="str">
        <f>image("https://i.imgur.com/XNzvO0H.png")</f>
        <v/>
      </c>
      <c r="O52" s="36"/>
      <c r="P52" s="38" t="str">
        <f>image("https://i.imgur.com/rAI9Gyi.png")</f>
        <v/>
      </c>
      <c r="Q52" s="36"/>
      <c r="R52" s="33"/>
    </row>
    <row r="53" ht="26.25" customHeight="1">
      <c r="A53" s="15"/>
      <c r="B53" s="40" t="str">
        <f>image("https://i.imgur.com/rAI9Gyi.png")</f>
        <v/>
      </c>
      <c r="C53" s="41"/>
      <c r="D53" s="40"/>
      <c r="E53" s="41"/>
      <c r="F53" s="40"/>
      <c r="G53" s="41"/>
      <c r="H53" s="40"/>
      <c r="I53" s="41"/>
      <c r="J53" s="40"/>
      <c r="K53" s="41"/>
      <c r="L53" s="40" t="str">
        <f>image("https://i.imgur.com/JOd7Boe.png")</f>
        <v/>
      </c>
      <c r="M53" s="41"/>
      <c r="N53" s="43" t="str">
        <f>image("https://i.imgur.com/JOd7Boe.png")</f>
        <v/>
      </c>
      <c r="O53" s="41"/>
      <c r="P53" s="40" t="str">
        <f>image("https://i.imgur.com/nNTmuH8.png")</f>
        <v/>
      </c>
      <c r="Q53" s="41"/>
      <c r="R53" s="33"/>
    </row>
    <row r="54" ht="26.25" customHeight="1">
      <c r="A54" s="15"/>
      <c r="B54" s="16" t="str">
        <f>image("https://i.imgur.com/XI18XGu.png")</f>
        <v/>
      </c>
      <c r="C54" s="20" t="str">
        <f>image("https://pokejungle.net/sprites/shiny/"&amp;B50&amp;".png")</f>
        <v/>
      </c>
      <c r="D54" s="16" t="str">
        <f>image("https://i.imgur.com/EkqYYOB.png")</f>
        <v/>
      </c>
      <c r="E54" s="20" t="str">
        <f>image("https://pokejungle.net/sprites/shiny/"&amp;D50&amp;".png")</f>
        <v/>
      </c>
      <c r="F54" s="16" t="str">
        <f>image("https://i.imgur.com/EkqYYOB.png")</f>
        <v/>
      </c>
      <c r="G54" s="20" t="str">
        <f>image("https://pokejungle.net/sprites/shiny/"&amp;F50&amp;".png")</f>
        <v/>
      </c>
      <c r="H54" s="16" t="str">
        <f>image("https://i.imgur.com/rAI9Gyi.png")</f>
        <v/>
      </c>
      <c r="I54" s="20" t="str">
        <f>image("https://pokejungle.net/sprites/shiny/"&amp;H50&amp;".png")</f>
        <v/>
      </c>
      <c r="J54" s="16" t="str">
        <f>image("https://i.imgur.com/rJhTvoD.png")</f>
        <v/>
      </c>
      <c r="K54" s="20" t="str">
        <f>image("https://pokejungle.net/sprites/shiny/"&amp;J50&amp;".png")</f>
        <v/>
      </c>
      <c r="L54" s="16" t="str">
        <f>image("https://i.imgur.com/VQL4lPa.png")</f>
        <v/>
      </c>
      <c r="M54" s="20" t="str">
        <f>image("https://pokejungle.net/sprites/shiny/"&amp;L50&amp;".png")</f>
        <v/>
      </c>
      <c r="N54" s="16" t="str">
        <f>image("https://i.imgur.com/VQL4lPa.png")</f>
        <v/>
      </c>
      <c r="O54" s="20" t="str">
        <f>image("https://pokejungle.net/sprites/shiny/"&amp;N50&amp;".png")</f>
        <v/>
      </c>
      <c r="P54" s="16" t="str">
        <f>image("https://i.imgur.com/rAI9Gyi.png")</f>
        <v/>
      </c>
      <c r="Q54" s="20" t="str">
        <f>image("https://pokejungle.net/sprites/shiny/"&amp;P50&amp;".png")</f>
        <v/>
      </c>
      <c r="R54" s="33"/>
    </row>
    <row r="55" ht="26.25" customHeight="1">
      <c r="A55" s="15"/>
      <c r="B55" s="38" t="str">
        <f>image("https://i.imgur.com/rAI9Gyi.png")</f>
        <v/>
      </c>
      <c r="C55" s="36"/>
      <c r="D55" s="38" t="str">
        <f>image("https://i.imgur.com/lpOVjtL.png")</f>
        <v/>
      </c>
      <c r="E55" s="36"/>
      <c r="F55" s="38" t="str">
        <f>image("https://i.imgur.com/lpOVjtL.png")</f>
        <v/>
      </c>
      <c r="G55" s="36"/>
      <c r="H55" s="35" t="str">
        <f>image("https://i.imgur.com/0ArMZjJ.png")</f>
        <v/>
      </c>
      <c r="I55" s="36"/>
      <c r="J55" s="46" t="str">
        <f>image("https://i.imgur.com/EkqYYOB.png")</f>
        <v/>
      </c>
      <c r="K55" s="36"/>
      <c r="L55" s="38" t="str">
        <f>image("https://i.imgur.com/a9HBljD.png")</f>
        <v/>
      </c>
      <c r="M55" s="36"/>
      <c r="N55" s="46" t="str">
        <f>image("https://i.imgur.com/a9HBljD.png")</f>
        <v/>
      </c>
      <c r="O55" s="36"/>
      <c r="P55" s="38" t="str">
        <f>image("https://i.imgur.com/XNzvO0H.png")</f>
        <v/>
      </c>
      <c r="Q55" s="36"/>
      <c r="R55" s="33"/>
    </row>
    <row r="56" ht="26.25" customHeight="1">
      <c r="A56" s="15"/>
      <c r="B56" s="40" t="str">
        <f>image("https://i.imgur.com/nNTmuH8.png")</f>
        <v/>
      </c>
      <c r="C56" s="41"/>
      <c r="D56" s="40"/>
      <c r="E56" s="41"/>
      <c r="F56" s="43"/>
      <c r="G56" s="41"/>
      <c r="H56" s="40"/>
      <c r="I56" s="41"/>
      <c r="J56" s="43" t="str">
        <f>image("https://i.imgur.com/0ArMZjJ.png")</f>
        <v/>
      </c>
      <c r="K56" s="41"/>
      <c r="L56" s="40" t="str">
        <f>image("https://i.imgur.com/N2Wqr43.png")</f>
        <v/>
      </c>
      <c r="M56" s="41"/>
      <c r="N56" s="43" t="str">
        <f>image("https://i.imgur.com/N2Wqr43.png")</f>
        <v/>
      </c>
      <c r="O56" s="41"/>
      <c r="P56" s="40" t="str">
        <f>image("https://i.imgur.com/XI18XGu.png")</f>
        <v/>
      </c>
      <c r="Q56" s="41"/>
      <c r="R56" s="33"/>
    </row>
    <row r="57" ht="18.75" customHeight="1">
      <c r="A57" s="6"/>
      <c r="B57" s="8" t="s">
        <v>1323</v>
      </c>
      <c r="C57" s="10" t="s">
        <v>1325</v>
      </c>
      <c r="D57" s="8" t="s">
        <v>1327</v>
      </c>
      <c r="E57" s="10" t="s">
        <v>1329</v>
      </c>
      <c r="F57" s="8" t="s">
        <v>1331</v>
      </c>
      <c r="G57" s="10" t="s">
        <v>1333</v>
      </c>
      <c r="H57" s="8" t="s">
        <v>1335</v>
      </c>
      <c r="I57" s="10" t="s">
        <v>1337</v>
      </c>
      <c r="J57" s="8" t="s">
        <v>1339</v>
      </c>
      <c r="K57" s="10" t="s">
        <v>1341</v>
      </c>
      <c r="L57" s="8" t="s">
        <v>1343</v>
      </c>
      <c r="M57" s="10" t="s">
        <v>1345</v>
      </c>
      <c r="N57" s="8" t="s">
        <v>1346</v>
      </c>
      <c r="O57" s="10" t="s">
        <v>1347</v>
      </c>
      <c r="P57" s="8" t="s">
        <v>1348</v>
      </c>
      <c r="Q57" s="10" t="s">
        <v>1349</v>
      </c>
      <c r="R57" s="14"/>
    </row>
    <row r="58" ht="26.25" customHeight="1">
      <c r="A58" s="15"/>
      <c r="B58" s="16" t="str">
        <f>image("https://i.imgur.com/XI18XGu.png")</f>
        <v/>
      </c>
      <c r="C58" s="20" t="str">
        <f>image("https://pokejungle.net/sprites/normal/"&amp;B57&amp;".png")</f>
        <v/>
      </c>
      <c r="D58" s="16" t="str">
        <f>image("https://i.imgur.com/zpybKax.png")</f>
        <v/>
      </c>
      <c r="E58" s="20" t="str">
        <f>image("https://pokejungle.net/sprites/normal/"&amp;D57&amp;".png")</f>
        <v/>
      </c>
      <c r="F58" s="16" t="str">
        <f>image("https://i.imgur.com/zpybKax.png")</f>
        <v/>
      </c>
      <c r="G58" s="20" t="str">
        <f>image("https://pokejungle.net/sprites/normal/"&amp;F57&amp;".png")</f>
        <v/>
      </c>
      <c r="H58" s="16" t="str">
        <f>image("https://i.imgur.com/beHgI95.png")</f>
        <v/>
      </c>
      <c r="I58" s="20" t="str">
        <f>image("https://pokejungle.net/sprites/normal/"&amp;H57&amp;".png")</f>
        <v/>
      </c>
      <c r="J58" s="24" t="str">
        <f>image("https://i.imgur.com/beHgI95.png")</f>
        <v/>
      </c>
      <c r="K58" s="20" t="str">
        <f>image("https://pokejungle.net/sprites/normal/"&amp;J57&amp;".png")</f>
        <v/>
      </c>
      <c r="L58" s="16" t="str">
        <f>image("https://i.imgur.com/EkqYYOB.png")</f>
        <v/>
      </c>
      <c r="M58" s="20" t="str">
        <f>image("https://pokejungle.net/sprites/normal/"&amp;L57&amp;".png")</f>
        <v/>
      </c>
      <c r="N58" s="28" t="str">
        <f>image("https://i.imgur.com/EkqYYOB.png")</f>
        <v/>
      </c>
      <c r="O58" s="20" t="str">
        <f>image("https://pokejungle.net/sprites/normal/"&amp;N57&amp;".png")</f>
        <v/>
      </c>
      <c r="P58" s="16" t="str">
        <f>image("https://i.imgur.com/zpybKax.png")</f>
        <v/>
      </c>
      <c r="Q58" s="20" t="str">
        <f>image("https://pokejungle.net/sprites/normal/"&amp;P57&amp;".png")</f>
        <v/>
      </c>
      <c r="R58" s="33"/>
    </row>
    <row r="59" ht="26.25" customHeight="1">
      <c r="A59" s="15"/>
      <c r="B59" s="38" t="str">
        <f>image("https://i.imgur.com/rAI9Gyi.png")</f>
        <v/>
      </c>
      <c r="C59" s="36"/>
      <c r="D59" s="38" t="str">
        <f>image("https://i.imgur.com/XNzvO0H.png")</f>
        <v/>
      </c>
      <c r="E59" s="36"/>
      <c r="F59" s="35" t="str">
        <f>image("https://i.imgur.com/XNzvO0H.png")</f>
        <v/>
      </c>
      <c r="G59" s="36"/>
      <c r="H59" s="35"/>
      <c r="I59" s="36"/>
      <c r="J59" s="37"/>
      <c r="K59" s="36"/>
      <c r="L59" s="38" t="str">
        <f>image("https://i.imgur.com/JOd7Boe.png")</f>
        <v/>
      </c>
      <c r="M59" s="36"/>
      <c r="N59" s="38" t="str">
        <f>image("https://i.imgur.com/JOd7Boe.png")</f>
        <v/>
      </c>
      <c r="O59" s="36"/>
      <c r="P59" s="38" t="str">
        <f>image("https://i.imgur.com/XNzvO0H.png")</f>
        <v/>
      </c>
      <c r="Q59" s="36"/>
      <c r="R59" s="33"/>
    </row>
    <row r="60" ht="26.25" customHeight="1">
      <c r="A60" s="15"/>
      <c r="B60" s="40" t="str">
        <f>image("https://i.imgur.com/nNTmuH8.png")</f>
        <v/>
      </c>
      <c r="C60" s="41"/>
      <c r="D60" s="40"/>
      <c r="E60" s="41"/>
      <c r="F60" s="40"/>
      <c r="G60" s="41"/>
      <c r="H60" s="40"/>
      <c r="I60" s="41"/>
      <c r="J60" s="40"/>
      <c r="K60" s="41"/>
      <c r="L60" s="40" t="str">
        <f>image("https://i.imgur.com/lpOVjtL.png")</f>
        <v/>
      </c>
      <c r="M60" s="41"/>
      <c r="N60" s="43" t="str">
        <f>image("https://i.imgur.com/rJhTvoD.png")</f>
        <v/>
      </c>
      <c r="O60" s="41"/>
      <c r="P60" s="43" t="str">
        <f>image("https://i.imgur.com/IIajvuS.png")</f>
        <v/>
      </c>
      <c r="Q60" s="41"/>
      <c r="R60" s="33"/>
    </row>
    <row r="61" ht="26.25" customHeight="1">
      <c r="A61" s="15"/>
      <c r="B61" s="16" t="str">
        <f>image("https://i.imgur.com/rAI9Gyi.png")</f>
        <v/>
      </c>
      <c r="C61" s="20" t="str">
        <f>image("https://pokejungle.net/sprites/shiny/"&amp;B57&amp;".png")</f>
        <v/>
      </c>
      <c r="D61" s="16" t="str">
        <f>image("https://i.imgur.com/GyNf8BH.png")</f>
        <v/>
      </c>
      <c r="E61" s="20" t="str">
        <f>image("https://pokejungle.net/sprites/shiny/"&amp;D57&amp;".png")</f>
        <v/>
      </c>
      <c r="F61" s="16" t="str">
        <f>image("https://i.imgur.com/GyNf8BH.png")</f>
        <v/>
      </c>
      <c r="G61" s="20" t="str">
        <f>image("https://pokejungle.net/sprites/shiny/"&amp;F57&amp;".png")</f>
        <v/>
      </c>
      <c r="H61" s="16" t="str">
        <f>image("https://i.imgur.com/rJhTvoD.png")</f>
        <v/>
      </c>
      <c r="I61" s="20" t="str">
        <f>image("https://pokejungle.net/sprites/shiny/"&amp;H57&amp;".png")</f>
        <v/>
      </c>
      <c r="J61" s="16" t="str">
        <f>image("https://i.imgur.com/rJhTvoD.png")</f>
        <v/>
      </c>
      <c r="K61" s="20" t="str">
        <f>image("https://pokejungle.net/sprites/shiny/"&amp;J57&amp;".png")</f>
        <v/>
      </c>
      <c r="L61" s="16" t="str">
        <f>image("https://i.imgur.com/XNzvO0H.png")</f>
        <v/>
      </c>
      <c r="M61" s="20" t="str">
        <f>image("https://pokejungle.net/sprites/shiny/"&amp;L57&amp;".png")</f>
        <v/>
      </c>
      <c r="N61" s="16" t="str">
        <f>image("https://i.imgur.com/XNzvO0H.png")</f>
        <v/>
      </c>
      <c r="O61" s="20" t="str">
        <f>image("https://pokejungle.net/sprites/shiny/"&amp;N57&amp;".png")</f>
        <v/>
      </c>
      <c r="P61" s="16" t="str">
        <f>image("https://i.imgur.com/XNzvO0H.png")</f>
        <v/>
      </c>
      <c r="Q61" s="20" t="str">
        <f>image("https://pokejungle.net/sprites/shiny/"&amp;P57&amp;".png")</f>
        <v/>
      </c>
      <c r="R61" s="33"/>
    </row>
    <row r="62" ht="26.25" customHeight="1">
      <c r="A62" s="15"/>
      <c r="B62" s="38" t="str">
        <f>image("https://i.imgur.com/XNzvO0H.png")</f>
        <v/>
      </c>
      <c r="C62" s="36"/>
      <c r="D62" s="46" t="str">
        <f>image("https://i.imgur.com/ef1o2lD.png")</f>
        <v/>
      </c>
      <c r="E62" s="36"/>
      <c r="F62" s="46" t="str">
        <f>image("https://i.imgur.com/ef1o2lD.png")</f>
        <v/>
      </c>
      <c r="G62" s="36"/>
      <c r="H62" s="35" t="str">
        <f>image("https://i.imgur.com/EkqYYOB.png")</f>
        <v/>
      </c>
      <c r="I62" s="36"/>
      <c r="J62" s="46" t="str">
        <f>image("https://i.imgur.com/EkqYYOB.png")</f>
        <v/>
      </c>
      <c r="K62" s="36"/>
      <c r="L62" s="38" t="str">
        <f>image("https://i.imgur.com/SF5CZ6U.png")</f>
        <v/>
      </c>
      <c r="M62" s="36"/>
      <c r="N62" s="38" t="str">
        <f>image("https://i.imgur.com/SF5CZ6U.png")</f>
        <v/>
      </c>
      <c r="O62" s="36"/>
      <c r="P62" s="38" t="str">
        <f>image("https://i.imgur.com/zpybKax.png")</f>
        <v/>
      </c>
      <c r="Q62" s="36"/>
      <c r="R62" s="33"/>
    </row>
    <row r="63" ht="26.25" customHeight="1">
      <c r="A63" s="15"/>
      <c r="B63" s="40" t="str">
        <f>image("https://i.imgur.com/N2Wqr43.png")</f>
        <v/>
      </c>
      <c r="C63" s="41"/>
      <c r="D63" s="40" t="str">
        <f>image("https://i.imgur.com/SF5CZ6U.png")</f>
        <v/>
      </c>
      <c r="E63" s="41"/>
      <c r="F63" s="40" t="str">
        <f>image("https://i.imgur.com/SF5CZ6U.png")</f>
        <v/>
      </c>
      <c r="G63" s="41"/>
      <c r="H63" s="40"/>
      <c r="I63" s="41"/>
      <c r="J63" s="43"/>
      <c r="K63" s="41"/>
      <c r="L63" s="40"/>
      <c r="M63" s="41"/>
      <c r="N63" s="43"/>
      <c r="O63" s="41"/>
      <c r="P63" s="40" t="str">
        <f>image("https://i.imgur.com/0ArMZjJ.png")</f>
        <v/>
      </c>
      <c r="Q63" s="41"/>
      <c r="R63" s="33"/>
    </row>
    <row r="64" ht="18.75" customHeight="1">
      <c r="A64" s="6"/>
      <c r="B64" s="8" t="s">
        <v>1350</v>
      </c>
      <c r="C64" s="10" t="s">
        <v>1351</v>
      </c>
      <c r="D64" s="8" t="s">
        <v>1352</v>
      </c>
      <c r="E64" s="10" t="s">
        <v>1353</v>
      </c>
      <c r="F64" s="8" t="s">
        <v>1354</v>
      </c>
      <c r="G64" s="10" t="s">
        <v>1355</v>
      </c>
      <c r="H64" s="8" t="s">
        <v>1356</v>
      </c>
      <c r="I64" s="10" t="s">
        <v>1357</v>
      </c>
      <c r="J64" s="8" t="s">
        <v>1358</v>
      </c>
      <c r="K64" s="10" t="s">
        <v>1359</v>
      </c>
      <c r="L64" s="8" t="s">
        <v>1360</v>
      </c>
      <c r="M64" s="10" t="s">
        <v>1361</v>
      </c>
      <c r="N64" s="8" t="s">
        <v>1362</v>
      </c>
      <c r="O64" s="10" t="s">
        <v>1363</v>
      </c>
      <c r="P64" s="8" t="s">
        <v>1362</v>
      </c>
      <c r="Q64" s="10" t="s">
        <v>1366</v>
      </c>
      <c r="R64" s="14"/>
    </row>
    <row r="65" ht="26.25" customHeight="1">
      <c r="A65" s="15"/>
      <c r="B65" s="16" t="str">
        <f>image("https://i.imgur.com/zpybKax.png")</f>
        <v/>
      </c>
      <c r="C65" s="20" t="str">
        <f>image("https://pokejungle.net/sprites/normal/"&amp;B64&amp;".png")</f>
        <v/>
      </c>
      <c r="D65" s="16" t="str">
        <f>image("https://i.imgur.com/rAI9Gyi.png")</f>
        <v/>
      </c>
      <c r="E65" s="20" t="str">
        <f>image("https://pokejungle.net/sprites/normal/"&amp;D64&amp;".png")</f>
        <v/>
      </c>
      <c r="F65" s="16" t="str">
        <f>image("https://i.imgur.com/GyNf8BH.png")</f>
        <v/>
      </c>
      <c r="G65" s="20" t="str">
        <f>image("https://pokejungle.net/sprites/normal/"&amp;F64&amp;".png")</f>
        <v/>
      </c>
      <c r="H65" s="16" t="str">
        <f>image("https://i.imgur.com/beHgI95.png")</f>
        <v/>
      </c>
      <c r="I65" s="20" t="str">
        <f>image("https://pokejungle.net/sprites/normal/"&amp;H64&amp;".png")</f>
        <v/>
      </c>
      <c r="J65" s="24" t="str">
        <f>image("https://i.imgur.com/NkILW1J.png")</f>
        <v/>
      </c>
      <c r="K65" s="20" t="str">
        <f>image("https://pokejungle.net/sprites/normal/"&amp;J64&amp;".png")</f>
        <v/>
      </c>
      <c r="L65" s="16" t="str">
        <f>image("https://i.imgur.com/XI18XGu.png")</f>
        <v/>
      </c>
      <c r="M65" s="20" t="str">
        <f>image("https://pokejungle.net/sprites/normal/"&amp;L64&amp;".png")</f>
        <v/>
      </c>
      <c r="N65" s="28" t="str">
        <f>image("https://i.imgur.com/XI18XGu.png")</f>
        <v/>
      </c>
      <c r="O65" s="20" t="str">
        <f>image("https://pokejungle.net/sprites/normal/"&amp;N64&amp;".png")</f>
        <v/>
      </c>
      <c r="P65" s="24" t="str">
        <f>image("https://i.imgur.com/NkILW1J.png")</f>
        <v/>
      </c>
      <c r="Q65" s="20" t="str">
        <f>image("https://pokejungle.net/sprites/normal/"&amp;P64&amp;"-1.png")</f>
        <v/>
      </c>
      <c r="R65" s="33"/>
    </row>
    <row r="66" ht="26.25" customHeight="1">
      <c r="A66" s="15"/>
      <c r="B66" s="38" t="str">
        <f>image("https://i.imgur.com/XNzvO0H.png")</f>
        <v/>
      </c>
      <c r="C66" s="36"/>
      <c r="D66" s="38" t="str">
        <f>image("https://i.imgur.com/a9HBljD.png")</f>
        <v/>
      </c>
      <c r="E66" s="36"/>
      <c r="F66" s="35" t="str">
        <f>image("https://i.imgur.com/EkqYYOB.png")</f>
        <v/>
      </c>
      <c r="G66" s="36"/>
      <c r="H66" s="35" t="str">
        <f>image("https://i.imgur.com/rJhTvoD.png")</f>
        <v/>
      </c>
      <c r="I66" s="36"/>
      <c r="J66" s="37" t="str">
        <f>image("https://i.imgur.com/XNzvO0H.png")</f>
        <v/>
      </c>
      <c r="K66" s="36"/>
      <c r="L66" s="38" t="str">
        <f>image("https://i.imgur.com/N2Wqr43.png")</f>
        <v/>
      </c>
      <c r="M66" s="36"/>
      <c r="N66" s="38" t="str">
        <f>image("https://i.imgur.com/N2Wqr43.png")</f>
        <v/>
      </c>
      <c r="O66" s="36"/>
      <c r="P66" s="38" t="str">
        <f>image("https://i.imgur.com/N2Wqr43.png")</f>
        <v/>
      </c>
      <c r="Q66" s="36"/>
      <c r="R66" s="33"/>
    </row>
    <row r="67" ht="26.25" customHeight="1">
      <c r="A67" s="15"/>
      <c r="B67" s="43" t="str">
        <f>image("https://i.imgur.com/IIajvuS.png")</f>
        <v/>
      </c>
      <c r="C67" s="41"/>
      <c r="D67" s="40" t="str">
        <f>image("https://i.imgur.com/0ArMZjJ.png")</f>
        <v/>
      </c>
      <c r="E67" s="41"/>
      <c r="F67" s="40" t="str">
        <f t="shared" ref="F67:F68" si="5">image("https://i.imgur.com/N2Wqr43.png")</f>
        <v/>
      </c>
      <c r="G67" s="41"/>
      <c r="H67" s="40"/>
      <c r="I67" s="41"/>
      <c r="J67" s="40"/>
      <c r="K67" s="41"/>
      <c r="L67" s="40" t="str">
        <f>image("https://i.imgur.com/nNTmuH8.png")</f>
        <v/>
      </c>
      <c r="M67" s="41"/>
      <c r="N67" s="43" t="str">
        <f>image("https://i.imgur.com/nNTmuH8.png")</f>
        <v/>
      </c>
      <c r="O67" s="41"/>
      <c r="P67" s="40" t="str">
        <f>image("https://i.imgur.com/XI18XGu.png")</f>
        <v/>
      </c>
      <c r="Q67" s="41"/>
      <c r="R67" s="33"/>
    </row>
    <row r="68" ht="26.25" customHeight="1">
      <c r="A68" s="15"/>
      <c r="B68" s="16" t="str">
        <f>image("https://i.imgur.com/XNzvO0H.png")</f>
        <v/>
      </c>
      <c r="C68" s="20" t="str">
        <f>image("https://pokejungle.net/sprites/shiny/"&amp;B64&amp;".png")</f>
        <v/>
      </c>
      <c r="D68" s="16" t="str">
        <f>image("https://i.imgur.com/rAI9Gyi.png")</f>
        <v/>
      </c>
      <c r="E68" s="20" t="str">
        <f>image("https://pokejungle.net/sprites/shiny/"&amp;D64&amp;".png")</f>
        <v/>
      </c>
      <c r="F68" s="16" t="str">
        <f t="shared" si="5"/>
        <v/>
      </c>
      <c r="G68" s="20" t="str">
        <f>image("https://pokejungle.net/sprites/shiny/"&amp;F64&amp;".png")</f>
        <v/>
      </c>
      <c r="H68" s="16" t="str">
        <f>image("https://i.imgur.com/beHgI95.png")</f>
        <v/>
      </c>
      <c r="I68" s="20" t="str">
        <f>image("https://pokejungle.net/sprites/shiny/"&amp;H64&amp;".png")</f>
        <v/>
      </c>
      <c r="J68" s="16" t="str">
        <f>image("https://i.imgur.com/NkILW1J.png")</f>
        <v/>
      </c>
      <c r="K68" s="20" t="str">
        <f>image("https://pokejungle.net/sprites/shiny/"&amp;J64&amp;".png")</f>
        <v/>
      </c>
      <c r="L68" s="16" t="str">
        <f>image("https://i.imgur.com/rAI9Gyi.png")</f>
        <v/>
      </c>
      <c r="M68" s="20" t="str">
        <f>image("https://pokejungle.net/sprites/shiny/"&amp;L64&amp;".png")</f>
        <v/>
      </c>
      <c r="N68" s="16" t="str">
        <f>image("https://i.imgur.com/rAI9Gyi.png")</f>
        <v/>
      </c>
      <c r="O68" s="20" t="str">
        <f>image("https://pokejungle.net/sprites/shiny/"&amp;N64&amp;".png")</f>
        <v/>
      </c>
      <c r="P68" s="16" t="str">
        <f>image("https://i.imgur.com/lpOVjtL.png")</f>
        <v/>
      </c>
      <c r="Q68" s="20" t="str">
        <f>image("https://pokejungle.net/sprites/shiny/"&amp;P64&amp;"-1.png")</f>
        <v/>
      </c>
      <c r="R68" s="33"/>
    </row>
    <row r="69" ht="26.25" customHeight="1">
      <c r="A69" s="15"/>
      <c r="B69" s="38" t="str">
        <f>image("https://i.imgur.com/zpybKax.png")</f>
        <v/>
      </c>
      <c r="C69" s="36"/>
      <c r="D69" s="38" t="str">
        <f>image("https://i.imgur.com/XNzvO0H.png")</f>
        <v/>
      </c>
      <c r="E69" s="36"/>
      <c r="F69" s="46" t="str">
        <f>image("https://i.imgur.com/EkqYYOB.png")</f>
        <v/>
      </c>
      <c r="G69" s="36"/>
      <c r="H69" s="35" t="str">
        <f>image("https://i.imgur.com/rJhTvoD.png")</f>
        <v/>
      </c>
      <c r="I69" s="36"/>
      <c r="J69" s="46" t="str">
        <f>image("https://i.imgur.com/XzidFHI.png")</f>
        <v/>
      </c>
      <c r="K69" s="36"/>
      <c r="L69" s="38"/>
      <c r="M69" s="36"/>
      <c r="N69" s="46"/>
      <c r="O69" s="36"/>
      <c r="P69" s="46" t="str">
        <f>image("https://i.imgur.com/EkqYYOB.png")</f>
        <v/>
      </c>
      <c r="Q69" s="36"/>
      <c r="R69" s="33"/>
    </row>
    <row r="70" ht="26.25" customHeight="1">
      <c r="A70" s="15"/>
      <c r="B70" s="40" t="str">
        <f>image("https://i.imgur.com/0ArMZjJ.png")</f>
        <v/>
      </c>
      <c r="C70" s="41"/>
      <c r="D70" s="40" t="str">
        <f>image("https://i.imgur.com/SF5CZ6U.png")</f>
        <v/>
      </c>
      <c r="E70" s="41"/>
      <c r="F70" s="43"/>
      <c r="G70" s="41"/>
      <c r="H70" s="40" t="str">
        <f>image("https://i.imgur.com/lpOVjtL.png")</f>
        <v/>
      </c>
      <c r="I70" s="41"/>
      <c r="J70" s="43"/>
      <c r="K70" s="41"/>
      <c r="L70" s="40"/>
      <c r="M70" s="41"/>
      <c r="N70" s="43"/>
      <c r="O70" s="41"/>
      <c r="P70" s="40" t="str">
        <f>image("https://i.imgur.com/XI18XGu.png")</f>
        <v/>
      </c>
      <c r="Q70" s="41"/>
      <c r="R70" s="33"/>
    </row>
    <row r="71" ht="18.75" customHeight="1">
      <c r="A71" s="6"/>
      <c r="B71" s="8" t="s">
        <v>1410</v>
      </c>
      <c r="C71" s="10" t="s">
        <v>1411</v>
      </c>
      <c r="D71" s="8" t="s">
        <v>1410</v>
      </c>
      <c r="E71" s="10" t="s">
        <v>1412</v>
      </c>
      <c r="F71" s="8" t="s">
        <v>1413</v>
      </c>
      <c r="G71" s="10" t="s">
        <v>1414</v>
      </c>
      <c r="H71" s="8" t="s">
        <v>1415</v>
      </c>
      <c r="I71" s="10" t="s">
        <v>1416</v>
      </c>
      <c r="J71" s="8" t="s">
        <v>1417</v>
      </c>
      <c r="K71" s="10" t="s">
        <v>1418</v>
      </c>
      <c r="L71" s="8" t="s">
        <v>1419</v>
      </c>
      <c r="M71" s="10" t="s">
        <v>1420</v>
      </c>
      <c r="N71" s="8" t="s">
        <v>1421</v>
      </c>
      <c r="O71" s="10" t="s">
        <v>1422</v>
      </c>
      <c r="P71" s="8" t="s">
        <v>1423</v>
      </c>
      <c r="Q71" s="10" t="s">
        <v>1424</v>
      </c>
      <c r="R71" s="14"/>
    </row>
    <row r="72" ht="26.25" customHeight="1">
      <c r="A72" s="15"/>
      <c r="B72" s="16" t="str">
        <f>image("https://i.imgur.com/XI18XGu.png")</f>
        <v/>
      </c>
      <c r="C72" s="20" t="str">
        <f>image("https://pokejungle.net/sprites/normal/"&amp;B71&amp;".png")</f>
        <v/>
      </c>
      <c r="D72" s="24" t="str">
        <f>image("https://i.imgur.com/NkILW1J.png")</f>
        <v/>
      </c>
      <c r="E72" s="20" t="str">
        <f>image("https://pokejungle.net/sprites/normal/"&amp;D71&amp;"-1.png")</f>
        <v/>
      </c>
      <c r="F72" s="16" t="str">
        <f>image("https://i.imgur.com/NkILW1J.png")</f>
        <v/>
      </c>
      <c r="G72" s="20" t="str">
        <f>image("https://pokejungle.net/sprites/normal/"&amp;F71&amp;".png")</f>
        <v/>
      </c>
      <c r="H72" s="16" t="str">
        <f>image("https://i.imgur.com/N2Wqr43.png")</f>
        <v/>
      </c>
      <c r="I72" s="20" t="str">
        <f>image("https://pokejungle.net/sprites/normal/"&amp;H71&amp;".png")</f>
        <v/>
      </c>
      <c r="J72" s="24" t="str">
        <f>image("https://i.imgur.com/N2Wqr43.png")</f>
        <v/>
      </c>
      <c r="K72" s="20" t="str">
        <f>image("https://pokejungle.net/sprites/normal/"&amp;J71&amp;".png")</f>
        <v/>
      </c>
      <c r="L72" s="16" t="str">
        <f>image("https://i.imgur.com/RqSOGo6.png")</f>
        <v/>
      </c>
      <c r="M72" s="20" t="str">
        <f>image("https://pokejungle.net/sprites/normal/"&amp;L71&amp;".png")</f>
        <v/>
      </c>
      <c r="N72" s="28" t="str">
        <f>image("https://i.imgur.com/RqSOGo6.png")</f>
        <v/>
      </c>
      <c r="O72" s="20" t="str">
        <f>image("https://pokejungle.net/sprites/normal/"&amp;N71&amp;".png")</f>
        <v/>
      </c>
      <c r="P72" s="16" t="str">
        <f>image("https://i.imgur.com/XNzvO0H.png")</f>
        <v/>
      </c>
      <c r="Q72" s="20" t="str">
        <f>image("https://pokejungle.net/sprites/normal/"&amp;P71&amp;".png")</f>
        <v/>
      </c>
      <c r="R72" s="33"/>
    </row>
    <row r="73" ht="26.25" customHeight="1">
      <c r="A73" s="15"/>
      <c r="B73" s="38" t="str">
        <f>image("https://i.imgur.com/N2Wqr43.png")</f>
        <v/>
      </c>
      <c r="C73" s="36"/>
      <c r="D73" s="38" t="str">
        <f>image("https://i.imgur.com/N2Wqr43.png")</f>
        <v/>
      </c>
      <c r="E73" s="36"/>
      <c r="F73" s="35" t="str">
        <f>image("https://i.imgur.com/JOd7Boe.png")</f>
        <v/>
      </c>
      <c r="G73" s="36"/>
      <c r="H73" s="35" t="str">
        <f>image("https://i.imgur.com/XIu6jDl.png")</f>
        <v/>
      </c>
      <c r="I73" s="36"/>
      <c r="J73" s="37" t="str">
        <f>image("https://i.imgur.com/XIu6jDl.png")</f>
        <v/>
      </c>
      <c r="K73" s="36"/>
      <c r="L73" s="38" t="str">
        <f>image("https://i.imgur.com/N2Wqr43.png")</f>
        <v/>
      </c>
      <c r="M73" s="36"/>
      <c r="N73" s="35" t="str">
        <f>image("https://i.imgur.com/N2Wqr43.png")</f>
        <v/>
      </c>
      <c r="O73" s="36"/>
      <c r="P73" s="38"/>
      <c r="Q73" s="36"/>
      <c r="R73" s="33"/>
    </row>
    <row r="74" ht="26.25" customHeight="1">
      <c r="A74" s="15"/>
      <c r="B74" s="40" t="str">
        <f>image("https://i.imgur.com/nNTmuH8.png")</f>
        <v/>
      </c>
      <c r="C74" s="41"/>
      <c r="D74" s="40" t="str">
        <f>image("https://i.imgur.com/XI18XGu.png")</f>
        <v/>
      </c>
      <c r="E74" s="41"/>
      <c r="F74" s="40" t="str">
        <f t="shared" ref="F74:F75" si="6">image("https://i.imgur.com/EkqYYOB.png")</f>
        <v/>
      </c>
      <c r="G74" s="41"/>
      <c r="H74" s="40" t="str">
        <f>image("https://i.imgur.com/lpOVjtL.png")</f>
        <v/>
      </c>
      <c r="I74" s="41"/>
      <c r="J74" s="40" t="str">
        <f>image("https://i.imgur.com/lpOVjtL.png")</f>
        <v/>
      </c>
      <c r="K74" s="41"/>
      <c r="L74" s="40"/>
      <c r="M74" s="41"/>
      <c r="N74" s="43"/>
      <c r="O74" s="41"/>
      <c r="P74" s="40"/>
      <c r="Q74" s="41"/>
      <c r="R74" s="33"/>
    </row>
    <row r="75" ht="26.25" customHeight="1">
      <c r="A75" s="15"/>
      <c r="B75" s="16" t="str">
        <f>image("https://i.imgur.com/rAI9Gyi.png")</f>
        <v/>
      </c>
      <c r="C75" s="20" t="str">
        <f>image("https://pokejungle.net/sprites/shiny/"&amp;B71&amp;".png")</f>
        <v/>
      </c>
      <c r="D75" s="16" t="str">
        <f>image("https://i.imgur.com/lpOVjtL.png")</f>
        <v/>
      </c>
      <c r="E75" s="20" t="str">
        <f>image("https://pokejungle.net/sprites/shiny/"&amp;D71&amp;"-1.png")</f>
        <v/>
      </c>
      <c r="F75" s="16" t="str">
        <f t="shared" si="6"/>
        <v/>
      </c>
      <c r="G75" s="20" t="str">
        <f>image("https://pokejungle.net/sprites/shiny/"&amp;F71&amp;".png")</f>
        <v/>
      </c>
      <c r="H75" s="16" t="str">
        <f>image("https://i.imgur.com/JOd7Boe.png")</f>
        <v/>
      </c>
      <c r="I75" s="20" t="str">
        <f>image("https://pokejungle.net/sprites/shiny/"&amp;H71&amp;".png")</f>
        <v/>
      </c>
      <c r="J75" s="16" t="str">
        <f>image("https://i.imgur.com/JOd7Boe.png")</f>
        <v/>
      </c>
      <c r="K75" s="20" t="str">
        <f>image("https://pokejungle.net/sprites/shiny/"&amp;J71&amp;".png")</f>
        <v/>
      </c>
      <c r="L75" s="16" t="str">
        <f>image("https://i.imgur.com/N2Wqr43.png")</f>
        <v/>
      </c>
      <c r="M75" s="20" t="str">
        <f>image("https://pokejungle.net/sprites/shiny/"&amp;L71&amp;".png")</f>
        <v/>
      </c>
      <c r="N75" s="16" t="str">
        <f>image("https://i.imgur.com/N2Wqr43.png")</f>
        <v/>
      </c>
      <c r="O75" s="20" t="str">
        <f>image("https://pokejungle.net/sprites/shiny/"&amp;N71&amp;".png")</f>
        <v/>
      </c>
      <c r="P75" s="16" t="str">
        <f>image("https://i.imgur.com/zpybKax.png")</f>
        <v/>
      </c>
      <c r="Q75" s="20" t="str">
        <f>image("https://pokejungle.net/sprites/shiny/"&amp;P71&amp;".png")</f>
        <v/>
      </c>
      <c r="R75" s="33"/>
    </row>
    <row r="76" ht="26.25" customHeight="1">
      <c r="A76" s="15"/>
      <c r="B76" s="38"/>
      <c r="C76" s="36"/>
      <c r="D76" s="46" t="str">
        <f>image("https://i.imgur.com/EkqYYOB.png")</f>
        <v/>
      </c>
      <c r="E76" s="36"/>
      <c r="F76" s="46" t="str">
        <f>image("https://i.imgur.com/zpybKax.png")</f>
        <v/>
      </c>
      <c r="G76" s="36"/>
      <c r="H76" s="46" t="str">
        <f>image("https://i.imgur.com/0ArMZjJ.png")</f>
        <v/>
      </c>
      <c r="I76" s="36"/>
      <c r="J76" s="46" t="str">
        <f>image("https://i.imgur.com/0ArMZjJ.png")</f>
        <v/>
      </c>
      <c r="K76" s="36"/>
      <c r="L76" s="38" t="str">
        <f>image("https://i.imgur.com/beHgI95.png")</f>
        <v/>
      </c>
      <c r="M76" s="36"/>
      <c r="N76" s="38" t="str">
        <f>image("https://i.imgur.com/beHgI95.png")</f>
        <v/>
      </c>
      <c r="O76" s="36"/>
      <c r="P76" s="38" t="str">
        <f>image("https://i.imgur.com/XNzvO0H.png")</f>
        <v/>
      </c>
      <c r="Q76" s="36"/>
      <c r="R76" s="33"/>
    </row>
    <row r="77" ht="26.25" customHeight="1">
      <c r="A77" s="15"/>
      <c r="B77" s="40"/>
      <c r="C77" s="41"/>
      <c r="D77" s="40" t="str">
        <f>image("https://i.imgur.com/XI18XGu.png")</f>
        <v/>
      </c>
      <c r="E77" s="41"/>
      <c r="F77" s="43" t="str">
        <f>image("https://i.imgur.com/beHgI95.png")</f>
        <v/>
      </c>
      <c r="G77" s="41"/>
      <c r="H77" s="40"/>
      <c r="I77" s="41"/>
      <c r="J77" s="43"/>
      <c r="K77" s="41"/>
      <c r="L77" s="40" t="str">
        <f>image("https://i.imgur.com/nNTmuH8.png")</f>
        <v/>
      </c>
      <c r="M77" s="41"/>
      <c r="N77" s="40" t="str">
        <f>image("https://i.imgur.com/nNTmuH8.png")</f>
        <v/>
      </c>
      <c r="O77" s="41"/>
      <c r="P77" s="43" t="str">
        <f>image("https://i.imgur.com/IIajvuS.png")</f>
        <v/>
      </c>
      <c r="Q77" s="41"/>
      <c r="R77" s="33"/>
    </row>
    <row r="78" ht="18.75" customHeight="1">
      <c r="A78" s="102"/>
      <c r="B78" s="8" t="s">
        <v>1454</v>
      </c>
      <c r="C78" s="10" t="s">
        <v>1456</v>
      </c>
      <c r="D78" s="8" t="s">
        <v>1454</v>
      </c>
      <c r="E78" s="10" t="s">
        <v>1457</v>
      </c>
      <c r="F78" s="8" t="s">
        <v>1458</v>
      </c>
      <c r="G78" s="10" t="s">
        <v>1459</v>
      </c>
      <c r="H78" s="8" t="s">
        <v>1460</v>
      </c>
      <c r="I78" s="10" t="s">
        <v>1461</v>
      </c>
      <c r="J78" s="8" t="s">
        <v>1462</v>
      </c>
      <c r="K78" s="10" t="s">
        <v>1463</v>
      </c>
      <c r="L78" s="8" t="s">
        <v>1464</v>
      </c>
      <c r="M78" s="10" t="s">
        <v>1465</v>
      </c>
      <c r="N78" s="8" t="s">
        <v>1466</v>
      </c>
      <c r="O78" s="10" t="s">
        <v>1467</v>
      </c>
      <c r="P78" s="8" t="s">
        <v>1466</v>
      </c>
      <c r="Q78" s="10" t="s">
        <v>1468</v>
      </c>
      <c r="R78" s="1"/>
    </row>
    <row r="79" ht="26.25" customHeight="1">
      <c r="A79" s="15"/>
      <c r="B79" s="16" t="str">
        <f>image("https://i.imgur.com/XNzvO0H.png")</f>
        <v/>
      </c>
      <c r="C79" s="20" t="str">
        <f>image("https://pokejungle.net/sprites/normal/"&amp;B78&amp;".png")</f>
        <v/>
      </c>
      <c r="D79" s="16" t="str">
        <f>image("https://i.imgur.com/XNzvO0H.png")</f>
        <v/>
      </c>
      <c r="E79" s="20" t="str">
        <f>image("https://pokejungle.net/sprites/normal/"&amp;D78&amp;"-1.png")</f>
        <v/>
      </c>
      <c r="F79" s="16" t="str">
        <f>image("https://i.imgur.com/XI18XGu.png")</f>
        <v/>
      </c>
      <c r="G79" s="20" t="str">
        <f>image("https://pokejungle.net/sprites/normal/"&amp;F78&amp;".png")</f>
        <v/>
      </c>
      <c r="H79" s="16" t="str">
        <f>image("https://i.imgur.com/JDgAgAO.png")</f>
        <v/>
      </c>
      <c r="I79" s="20" t="str">
        <f>image("https://pokejungle.net/sprites/normal/"&amp;H78&amp;".png")</f>
        <v/>
      </c>
      <c r="J79" s="24" t="str">
        <f>image("https://i.imgur.com/JDgAgAO.png")</f>
        <v/>
      </c>
      <c r="K79" s="20" t="str">
        <f>image("https://pokejungle.net/sprites/normal/"&amp;J78&amp;".png")</f>
        <v/>
      </c>
      <c r="L79" s="16" t="str">
        <f>image("https://i.imgur.com/JOd7Boe.png")</f>
        <v/>
      </c>
      <c r="M79" s="20" t="str">
        <f>image("https://pokejungle.net/sprites/normal/"&amp;L78&amp;".png")</f>
        <v/>
      </c>
      <c r="N79" s="28" t="str">
        <f>image("https://i.imgur.com/N2Wqr43.png")</f>
        <v/>
      </c>
      <c r="O79" s="20" t="str">
        <f>image("https://pokejungle.net/sprites/normal/"&amp;N78&amp;".png")</f>
        <v/>
      </c>
      <c r="P79" s="16" t="str">
        <f>image("https://i.imgur.com/N2Wqr43.png")</f>
        <v/>
      </c>
      <c r="Q79" s="20" t="str">
        <f>image("https://pokejungle.net/sprites/normal/"&amp;P78&amp;"-1.png")</f>
        <v/>
      </c>
      <c r="R79" s="103"/>
    </row>
    <row r="80" ht="26.25" customHeight="1">
      <c r="A80" s="15"/>
      <c r="B80" s="38"/>
      <c r="C80" s="36"/>
      <c r="D80" s="38"/>
      <c r="E80" s="36"/>
      <c r="F80" s="35" t="str">
        <f>image("https://i.imgur.com/rAI9Gyi.png")</f>
        <v/>
      </c>
      <c r="G80" s="36"/>
      <c r="H80" s="35" t="str">
        <f>image("https://i.imgur.com/XI18XGu.png")</f>
        <v/>
      </c>
      <c r="I80" s="36"/>
      <c r="J80" s="37" t="str">
        <f>image("https://i.imgur.com/NkILW1J.png")</f>
        <v/>
      </c>
      <c r="K80" s="36"/>
      <c r="L80" s="38" t="str">
        <f>image("https://i.imgur.com/EkqYYOB.png")</f>
        <v/>
      </c>
      <c r="M80" s="36"/>
      <c r="N80" s="38" t="str">
        <f>image("https://i.imgur.com/VQL4lPa.png")</f>
        <v/>
      </c>
      <c r="O80" s="36"/>
      <c r="P80" s="38" t="str">
        <f>image("https://i.imgur.com/VQL4lPa.png")</f>
        <v/>
      </c>
      <c r="Q80" s="36"/>
      <c r="R80" s="1"/>
    </row>
    <row r="81" ht="26.25" customHeight="1">
      <c r="A81" s="15"/>
      <c r="B81" s="40"/>
      <c r="C81" s="41"/>
      <c r="D81" s="40"/>
      <c r="E81" s="41"/>
      <c r="F81" s="40" t="str">
        <f>image("https://i.imgur.com/nNTmuH8.png")</f>
        <v/>
      </c>
      <c r="G81" s="41"/>
      <c r="H81" s="40" t="str">
        <f t="shared" ref="H81:H82" si="7">image("https://i.imgur.com/N2Wqr43.png")</f>
        <v/>
      </c>
      <c r="I81" s="41"/>
      <c r="J81" s="40" t="str">
        <f>image("https://i.imgur.com/XzidFHI.png")</f>
        <v/>
      </c>
      <c r="K81" s="41"/>
      <c r="L81" s="40"/>
      <c r="M81" s="41"/>
      <c r="N81" s="43"/>
      <c r="O81" s="41"/>
      <c r="P81" s="40"/>
      <c r="Q81" s="41"/>
      <c r="R81" s="1"/>
    </row>
    <row r="82" ht="26.25" customHeight="1">
      <c r="A82" s="15"/>
      <c r="B82" s="16" t="str">
        <f>image("https://i.imgur.com/zpybKax.png")</f>
        <v/>
      </c>
      <c r="C82" s="20" t="str">
        <f>image("https://pokejungle.net/sprites/shiny/"&amp;B78&amp;".png")</f>
        <v/>
      </c>
      <c r="D82" s="16" t="str">
        <f>image("https://i.imgur.com/JOd7Boe.png")</f>
        <v/>
      </c>
      <c r="E82" s="20" t="str">
        <f>image("https://pokejungle.net/sprites/shiny/"&amp;D78&amp;"-1.png")</f>
        <v/>
      </c>
      <c r="F82" s="16" t="str">
        <f>image("https://i.imgur.com/JDgAgAO.png")</f>
        <v/>
      </c>
      <c r="G82" s="20" t="str">
        <f>image("https://pokejungle.net/sprites/shiny/"&amp;F78&amp;".png")</f>
        <v/>
      </c>
      <c r="H82" s="16" t="str">
        <f t="shared" si="7"/>
        <v/>
      </c>
      <c r="I82" s="20" t="str">
        <f>image("https://pokejungle.net/sprites/shiny/"&amp;H78&amp;".png")</f>
        <v/>
      </c>
      <c r="J82" s="16" t="str">
        <f>image("https://i.imgur.com/XNzvO0H.png")</f>
        <v/>
      </c>
      <c r="K82" s="20" t="str">
        <f>image("https://pokejungle.net/sprites/shiny/"&amp;J78&amp;".png")</f>
        <v/>
      </c>
      <c r="L82" s="16" t="str">
        <f>image("https://i.imgur.com/0ArMZjJ.png")</f>
        <v/>
      </c>
      <c r="M82" s="20" t="str">
        <f>image("https://pokejungle.net/sprites/shiny/"&amp;L78&amp;".png")</f>
        <v/>
      </c>
      <c r="N82" s="16" t="str">
        <f>image("https://i.imgur.com/VQL4lPa.png")</f>
        <v/>
      </c>
      <c r="O82" s="20" t="str">
        <f>image("https://pokejungle.net/sprites/shiny/"&amp;N78&amp;".png")</f>
        <v/>
      </c>
      <c r="P82" s="16" t="str">
        <f>image("https://i.imgur.com/VQL4lPa.png")</f>
        <v/>
      </c>
      <c r="Q82" s="20" t="str">
        <f>image("https://pokejungle.net/sprites/shiny/"&amp;P78&amp;"-1.png")</f>
        <v/>
      </c>
      <c r="R82" s="1"/>
    </row>
    <row r="83" ht="26.25" customHeight="1">
      <c r="A83" s="15"/>
      <c r="B83" s="38" t="str">
        <f>image("https://i.imgur.com/XNzvO0H.png")</f>
        <v/>
      </c>
      <c r="C83" s="36"/>
      <c r="D83" s="35" t="str">
        <f>image("https://i.imgur.com/rJhTvoD.png")</f>
        <v/>
      </c>
      <c r="E83" s="36"/>
      <c r="F83" s="46" t="str">
        <f>image("https://i.imgur.com/N2Wqr43.png")</f>
        <v/>
      </c>
      <c r="G83" s="36"/>
      <c r="H83" s="35" t="str">
        <f>image("https://i.imgur.com/JDgAgAO.png")</f>
        <v/>
      </c>
      <c r="I83" s="36"/>
      <c r="J83" s="46" t="str">
        <f>image("https://i.imgur.com/XzidFHI.png")</f>
        <v/>
      </c>
      <c r="K83" s="36"/>
      <c r="L83" s="38" t="str">
        <f>image("https://i.imgur.com/JOd7Boe.png")</f>
        <v/>
      </c>
      <c r="M83" s="36"/>
      <c r="N83" s="46" t="str">
        <f>image("https://i.imgur.com/0ArMZjJ.png")</f>
        <v/>
      </c>
      <c r="O83" s="36"/>
      <c r="P83" s="38" t="str">
        <f>image("https://i.imgur.com/0ArMZjJ.png")</f>
        <v/>
      </c>
      <c r="Q83" s="36"/>
      <c r="R83" s="1"/>
    </row>
    <row r="84" ht="26.25" customHeight="1">
      <c r="A84" s="15"/>
      <c r="B84" s="43" t="str">
        <f>image("https://i.imgur.com/IIajvuS.png")</f>
        <v/>
      </c>
      <c r="C84" s="41"/>
      <c r="D84" s="40" t="str">
        <f>image("https://i.imgur.com/XNzvO0H.png")</f>
        <v/>
      </c>
      <c r="E84" s="41"/>
      <c r="F84" s="43"/>
      <c r="G84" s="41"/>
      <c r="H84" s="40" t="str">
        <f>image("https://i.imgur.com/VQL4lPa.png")</f>
        <v/>
      </c>
      <c r="I84" s="41"/>
      <c r="J84" s="43"/>
      <c r="K84" s="41"/>
      <c r="L84" s="104" t="str">
        <f>image("https://i.imgur.com/EkqYYOB.png")</f>
        <v/>
      </c>
      <c r="M84" s="41"/>
      <c r="N84" s="40" t="str">
        <f>image("https://i.imgur.com/XzidFHI.png")</f>
        <v/>
      </c>
      <c r="O84" s="41"/>
      <c r="P84" s="40" t="str">
        <f>image("https://i.imgur.com/XzidFHI.png")</f>
        <v/>
      </c>
      <c r="Q84" s="41"/>
      <c r="R84" s="1"/>
    </row>
    <row r="85" ht="18.75" customHeight="1">
      <c r="A85" s="102"/>
      <c r="B85" s="8" t="s">
        <v>1498</v>
      </c>
      <c r="C85" s="10" t="s">
        <v>1499</v>
      </c>
      <c r="D85" s="105" t="s">
        <v>1500</v>
      </c>
      <c r="E85" s="10" t="s">
        <v>1501</v>
      </c>
      <c r="F85" s="8" t="s">
        <v>1500</v>
      </c>
      <c r="G85" s="10" t="s">
        <v>1502</v>
      </c>
      <c r="H85" s="8" t="s">
        <v>1503</v>
      </c>
      <c r="I85" s="10" t="s">
        <v>1504</v>
      </c>
      <c r="J85" s="106"/>
      <c r="K85" s="1"/>
      <c r="L85" s="2"/>
      <c r="M85" s="1"/>
      <c r="N85" s="2"/>
      <c r="O85" s="1"/>
      <c r="P85" s="2"/>
      <c r="Q85" s="1"/>
      <c r="R85" s="33"/>
    </row>
    <row r="86" ht="26.25" customHeight="1">
      <c r="A86" s="15"/>
      <c r="B86" s="16" t="str">
        <f>image("https://i.imgur.com/a9HBljD.png")</f>
        <v/>
      </c>
      <c r="C86" s="20" t="str">
        <f>image("https://pokejungle.net/sprites/normal/"&amp;B85&amp;".png")</f>
        <v/>
      </c>
      <c r="D86" s="16" t="str">
        <f>image("https://i.imgur.com/aeqHLEh.png")</f>
        <v/>
      </c>
      <c r="E86" s="20" t="str">
        <f>image("https://pokejungle.net/sprites/normal/"&amp;D85&amp;".png")</f>
        <v/>
      </c>
      <c r="F86" s="16" t="str">
        <f>image("https://i.imgur.com/aeqHLEh.png")</f>
        <v/>
      </c>
      <c r="G86" s="20" t="str">
        <f>image("https://pokejungle.net/sprites/normal/"&amp;F85&amp;"-1.png")</f>
        <v/>
      </c>
      <c r="H86" s="16" t="str">
        <f>image("https://i.imgur.com/EkqYYOB.png")</f>
        <v/>
      </c>
      <c r="I86" s="20" t="str">
        <f>image("https://pokejungle.net/sprites/normal/"&amp;H85&amp;".png")</f>
        <v/>
      </c>
      <c r="J86" s="60"/>
      <c r="K86" s="107"/>
      <c r="L86" s="108"/>
      <c r="M86" s="107"/>
      <c r="N86" s="108"/>
      <c r="O86" s="107"/>
      <c r="P86" s="108"/>
      <c r="Q86" s="107"/>
      <c r="R86" s="103"/>
    </row>
    <row r="87" ht="26.25" customHeight="1">
      <c r="A87" s="15"/>
      <c r="B87" s="38" t="str">
        <f>image("https://i.imgur.com/XI18XGu.png")</f>
        <v/>
      </c>
      <c r="C87" s="36"/>
      <c r="D87" s="35" t="str">
        <f>image("https://i.imgur.com/bxys1sd.png")</f>
        <v/>
      </c>
      <c r="E87" s="36"/>
      <c r="F87" s="35" t="str">
        <f>image("https://i.imgur.com/bxys1sd.png")</f>
        <v/>
      </c>
      <c r="G87" s="36"/>
      <c r="H87" s="46" t="str">
        <f>image("https://i.imgur.com/ef1o2lD.png")</f>
        <v/>
      </c>
      <c r="I87" s="36"/>
      <c r="J87" s="60"/>
      <c r="K87" s="75"/>
      <c r="L87" s="60"/>
      <c r="M87" s="75"/>
      <c r="N87" s="60"/>
      <c r="O87" s="75"/>
      <c r="P87" s="60"/>
      <c r="Q87" s="75"/>
      <c r="R87" s="1"/>
    </row>
    <row r="88" ht="26.25" customHeight="1">
      <c r="A88" s="15"/>
      <c r="B88" s="40" t="str">
        <f>image("https://i.imgur.com/rAI9Gyi.png")</f>
        <v/>
      </c>
      <c r="C88" s="41"/>
      <c r="D88" s="40" t="str">
        <f>image("https://i.imgur.com/beHgI95.png")</f>
        <v/>
      </c>
      <c r="E88" s="41"/>
      <c r="F88" s="40" t="str">
        <f>image("https://i.imgur.com/beHgI95.png")</f>
        <v/>
      </c>
      <c r="G88" s="41"/>
      <c r="H88" s="40" t="str">
        <f>image("https://i.imgur.com/RqSOGo6.png")</f>
        <v/>
      </c>
      <c r="I88" s="41"/>
      <c r="J88" s="60"/>
      <c r="K88" s="76"/>
      <c r="L88" s="60"/>
      <c r="M88" s="76"/>
      <c r="N88" s="60"/>
      <c r="O88" s="76"/>
      <c r="P88" s="60"/>
      <c r="Q88" s="76"/>
      <c r="R88" s="1"/>
    </row>
    <row r="89" ht="26.25" customHeight="1">
      <c r="A89" s="15"/>
      <c r="B89" s="16" t="str">
        <f>image("https://i.imgur.com/aeqHLEh.png")</f>
        <v/>
      </c>
      <c r="C89" s="20" t="str">
        <f>image("https://img.pokemondb.net/sprites/home/shiny/diancie.png")</f>
        <v/>
      </c>
      <c r="D89" s="77" t="s">
        <v>995</v>
      </c>
      <c r="E89" s="20" t="str">
        <f>image("https://img.pokemondb.net/sprites/home/shiny/hoopa.png")</f>
        <v/>
      </c>
      <c r="F89" s="77" t="s">
        <v>995</v>
      </c>
      <c r="G89" s="20" t="str">
        <f>image("https://img.pokemondb.net/sprites/home/shiny/hoopa-unbound.png")</f>
        <v/>
      </c>
      <c r="H89" s="16" t="str">
        <f>image("https://i.imgur.com/aeqHLEh.png")</f>
        <v/>
      </c>
      <c r="I89" s="20" t="str">
        <f>image("https://img.pokemondb.net/sprites/home/shiny/volcanion.png")</f>
        <v/>
      </c>
      <c r="J89" s="60"/>
      <c r="K89" s="74"/>
      <c r="L89" s="109"/>
      <c r="M89" s="74"/>
      <c r="N89" s="109"/>
      <c r="O89" s="74"/>
      <c r="P89" s="109"/>
      <c r="Q89" s="74"/>
      <c r="R89" s="1"/>
    </row>
    <row r="90" ht="26.25" customHeight="1">
      <c r="A90" s="15"/>
      <c r="B90" s="38"/>
      <c r="C90" s="36"/>
      <c r="D90" s="78"/>
      <c r="E90" s="36"/>
      <c r="F90" s="78"/>
      <c r="G90" s="36"/>
      <c r="H90" s="38"/>
      <c r="I90" s="36"/>
      <c r="J90" s="60"/>
      <c r="K90" s="75"/>
      <c r="L90" s="75"/>
      <c r="M90" s="75"/>
      <c r="N90" s="75"/>
      <c r="O90" s="75"/>
      <c r="P90" s="75"/>
      <c r="Q90" s="75"/>
      <c r="R90" s="1"/>
    </row>
    <row r="91" ht="26.25" customHeight="1">
      <c r="A91" s="15"/>
      <c r="B91" s="40"/>
      <c r="C91" s="41"/>
      <c r="D91" s="79"/>
      <c r="E91" s="41"/>
      <c r="F91" s="79"/>
      <c r="G91" s="41"/>
      <c r="H91" s="40"/>
      <c r="I91" s="41"/>
      <c r="J91" s="60"/>
      <c r="K91" s="76"/>
      <c r="L91" s="76"/>
      <c r="M91" s="76"/>
      <c r="N91" s="76"/>
      <c r="O91" s="76"/>
      <c r="P91" s="76"/>
      <c r="Q91" s="76"/>
      <c r="R91" s="1"/>
    </row>
    <row r="92" ht="18.75" customHeight="1">
      <c r="A92" s="1"/>
      <c r="B92" s="2"/>
      <c r="C92" s="1"/>
      <c r="D92" s="2"/>
      <c r="E92" s="1"/>
      <c r="F92" s="2"/>
      <c r="G92" s="1"/>
      <c r="H92" s="2"/>
      <c r="I92" s="1"/>
      <c r="J92" s="2"/>
      <c r="K92" s="1"/>
      <c r="L92" s="2"/>
      <c r="M92" s="1"/>
      <c r="N92" s="2"/>
      <c r="O92" s="1"/>
      <c r="P92" s="2"/>
      <c r="Q92" s="1"/>
      <c r="R92" s="1"/>
    </row>
  </sheetData>
  <mergeCells count="213">
    <mergeCell ref="I68:I70"/>
    <mergeCell ref="I72:I74"/>
    <mergeCell ref="K72:K74"/>
    <mergeCell ref="M72:M74"/>
    <mergeCell ref="K75:K77"/>
    <mergeCell ref="M75:M77"/>
    <mergeCell ref="I75:I77"/>
    <mergeCell ref="I79:I81"/>
    <mergeCell ref="K79:K81"/>
    <mergeCell ref="M79:M81"/>
    <mergeCell ref="K82:K84"/>
    <mergeCell ref="M82:M84"/>
    <mergeCell ref="M86:M88"/>
    <mergeCell ref="I5:I7"/>
    <mergeCell ref="I9:I11"/>
    <mergeCell ref="I12:I14"/>
    <mergeCell ref="K12:K14"/>
    <mergeCell ref="I16:I18"/>
    <mergeCell ref="K16:K18"/>
    <mergeCell ref="K19:K21"/>
    <mergeCell ref="K23:K25"/>
    <mergeCell ref="K26:K28"/>
    <mergeCell ref="K30:K32"/>
    <mergeCell ref="M30:M32"/>
    <mergeCell ref="Q30:Q32"/>
    <mergeCell ref="M33:M35"/>
    <mergeCell ref="Q33:Q35"/>
    <mergeCell ref="O30:O32"/>
    <mergeCell ref="O33:O35"/>
    <mergeCell ref="O37:O39"/>
    <mergeCell ref="Q37:Q39"/>
    <mergeCell ref="O40:O42"/>
    <mergeCell ref="Q40:Q42"/>
    <mergeCell ref="Q44:Q46"/>
    <mergeCell ref="Q47:Q49"/>
    <mergeCell ref="O82:O84"/>
    <mergeCell ref="O86:O88"/>
    <mergeCell ref="O89:O91"/>
    <mergeCell ref="P89:P91"/>
    <mergeCell ref="O44:O46"/>
    <mergeCell ref="O47:O49"/>
    <mergeCell ref="O51:O53"/>
    <mergeCell ref="O61:O63"/>
    <mergeCell ref="O72:O74"/>
    <mergeCell ref="O75:O77"/>
    <mergeCell ref="O79:O81"/>
    <mergeCell ref="K86:K88"/>
    <mergeCell ref="K89:K91"/>
    <mergeCell ref="L89:L91"/>
    <mergeCell ref="M89:M91"/>
    <mergeCell ref="N89:N91"/>
    <mergeCell ref="Q86:Q88"/>
    <mergeCell ref="Q89:Q91"/>
    <mergeCell ref="Q61:Q63"/>
    <mergeCell ref="Q65:Q67"/>
    <mergeCell ref="Q68:Q70"/>
    <mergeCell ref="Q72:Q74"/>
    <mergeCell ref="Q75:Q77"/>
    <mergeCell ref="Q79:Q81"/>
    <mergeCell ref="Q82:Q84"/>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E5:E7"/>
    <mergeCell ref="E9:E11"/>
    <mergeCell ref="C12:C14"/>
    <mergeCell ref="E12:E14"/>
    <mergeCell ref="G12:G14"/>
    <mergeCell ref="E16:E18"/>
    <mergeCell ref="G16:G18"/>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M44:M46"/>
    <mergeCell ref="M47:M49"/>
    <mergeCell ref="K33:K35"/>
    <mergeCell ref="K37:K39"/>
    <mergeCell ref="M37:M39"/>
    <mergeCell ref="K40:K42"/>
    <mergeCell ref="M40:M42"/>
    <mergeCell ref="K44:K46"/>
    <mergeCell ref="K47:K49"/>
    <mergeCell ref="Q54:Q56"/>
    <mergeCell ref="Q58:Q60"/>
    <mergeCell ref="K51:K53"/>
    <mergeCell ref="M51:M53"/>
    <mergeCell ref="Q51:Q53"/>
    <mergeCell ref="K54:K56"/>
    <mergeCell ref="O54:O56"/>
    <mergeCell ref="K58:K60"/>
    <mergeCell ref="O58:O60"/>
    <mergeCell ref="M65:M67"/>
    <mergeCell ref="M68:M70"/>
    <mergeCell ref="M54:M56"/>
    <mergeCell ref="M58:M60"/>
    <mergeCell ref="K61:K63"/>
    <mergeCell ref="M61:M63"/>
    <mergeCell ref="K65:K67"/>
    <mergeCell ref="O65:O67"/>
    <mergeCell ref="K68:K70"/>
    <mergeCell ref="O68:O70"/>
    <mergeCell ref="C75:C77"/>
    <mergeCell ref="C79:C81"/>
    <mergeCell ref="C82:C84"/>
    <mergeCell ref="C86:C88"/>
    <mergeCell ref="C89:C91"/>
    <mergeCell ref="C51:C53"/>
    <mergeCell ref="C54:C56"/>
    <mergeCell ref="C58:C60"/>
    <mergeCell ref="C61:C63"/>
    <mergeCell ref="C65:C67"/>
    <mergeCell ref="C68:C70"/>
    <mergeCell ref="C72:C74"/>
    <mergeCell ref="B16:C18"/>
    <mergeCell ref="B19:C21"/>
    <mergeCell ref="E19:E21"/>
    <mergeCell ref="G19:G21"/>
    <mergeCell ref="C23:C25"/>
    <mergeCell ref="G23:G25"/>
    <mergeCell ref="G26:G28"/>
    <mergeCell ref="E23:E25"/>
    <mergeCell ref="E26:E28"/>
    <mergeCell ref="E30:E32"/>
    <mergeCell ref="G30:G32"/>
    <mergeCell ref="E33:E35"/>
    <mergeCell ref="G33:G35"/>
    <mergeCell ref="G37:G39"/>
    <mergeCell ref="C26:C28"/>
    <mergeCell ref="C30:C32"/>
    <mergeCell ref="C33:C35"/>
    <mergeCell ref="C37:C39"/>
    <mergeCell ref="C40:C42"/>
    <mergeCell ref="C44:C46"/>
    <mergeCell ref="C47:C49"/>
    <mergeCell ref="E37:E39"/>
    <mergeCell ref="E40:E42"/>
    <mergeCell ref="E44:E46"/>
    <mergeCell ref="E47:E49"/>
    <mergeCell ref="E51:E53"/>
    <mergeCell ref="E54:E56"/>
    <mergeCell ref="E58:E60"/>
    <mergeCell ref="G65:G67"/>
    <mergeCell ref="G68:G70"/>
    <mergeCell ref="G72:G74"/>
    <mergeCell ref="G75:G77"/>
    <mergeCell ref="G79:G81"/>
    <mergeCell ref="G82:G84"/>
    <mergeCell ref="G86:G88"/>
    <mergeCell ref="G89:G91"/>
    <mergeCell ref="G40:G42"/>
    <mergeCell ref="G44:G46"/>
    <mergeCell ref="G47:G49"/>
    <mergeCell ref="G51:G53"/>
    <mergeCell ref="G54:G56"/>
    <mergeCell ref="G58:G60"/>
    <mergeCell ref="G61:G63"/>
    <mergeCell ref="E86:E88"/>
    <mergeCell ref="D89:D91"/>
    <mergeCell ref="E89:E91"/>
    <mergeCell ref="F89:F91"/>
    <mergeCell ref="E61:E63"/>
    <mergeCell ref="E65:E67"/>
    <mergeCell ref="E68:E70"/>
    <mergeCell ref="E72:E74"/>
    <mergeCell ref="E75:E77"/>
    <mergeCell ref="E79:E81"/>
    <mergeCell ref="E82:E84"/>
    <mergeCell ref="I19:I21"/>
    <mergeCell ref="I23:I25"/>
    <mergeCell ref="I26:I28"/>
    <mergeCell ref="I30:I32"/>
    <mergeCell ref="I33:I35"/>
    <mergeCell ref="I37:I39"/>
    <mergeCell ref="I40:I42"/>
    <mergeCell ref="I82:I84"/>
    <mergeCell ref="I86:I88"/>
    <mergeCell ref="I89:I91"/>
    <mergeCell ref="I44:I46"/>
    <mergeCell ref="I47:I49"/>
    <mergeCell ref="I51:I53"/>
    <mergeCell ref="I54:I56"/>
    <mergeCell ref="I58:I60"/>
    <mergeCell ref="I61:I63"/>
    <mergeCell ref="I65:I67"/>
  </mergeCells>
  <hyperlinks>
    <hyperlink display="Vivillon Forms tab" location="Vivillon!A1" ref="B16"/>
    <hyperlink display="Vivillon Forms tab" location="Vivillon!A1" ref="B19"/>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6"/>
      <c r="B1" s="8" t="s">
        <v>1255</v>
      </c>
      <c r="C1" s="10" t="s">
        <v>1256</v>
      </c>
      <c r="D1" s="8" t="s">
        <v>1257</v>
      </c>
      <c r="E1" s="10" t="s">
        <v>1258</v>
      </c>
      <c r="F1" s="8" t="s">
        <v>1259</v>
      </c>
      <c r="G1" s="10" t="s">
        <v>1260</v>
      </c>
      <c r="H1" s="8" t="s">
        <v>1259</v>
      </c>
      <c r="I1" s="10" t="s">
        <v>1261</v>
      </c>
      <c r="J1" s="8" t="s">
        <v>1262</v>
      </c>
      <c r="K1" s="10" t="s">
        <v>1263</v>
      </c>
      <c r="L1" s="8" t="s">
        <v>1264</v>
      </c>
      <c r="M1" s="10" t="s">
        <v>1265</v>
      </c>
      <c r="N1" s="8" t="s">
        <v>1266</v>
      </c>
      <c r="O1" s="10" t="s">
        <v>1267</v>
      </c>
      <c r="P1" s="8" t="s">
        <v>1268</v>
      </c>
      <c r="Q1" s="10" t="s">
        <v>1269</v>
      </c>
      <c r="R1" s="14"/>
    </row>
    <row r="2" ht="26.25" customHeight="1">
      <c r="A2" s="15"/>
      <c r="B2" s="16" t="str">
        <f>image("https://i.imgur.com/XIu6jDl.png")</f>
        <v/>
      </c>
      <c r="C2" s="20" t="str">
        <f>image("https://pokejungle.net/sprites/normal/"&amp;B1&amp;".png")</f>
        <v/>
      </c>
      <c r="D2" s="16" t="str">
        <f>image("https://i.imgur.com/XIu6jDl.png")</f>
        <v/>
      </c>
      <c r="E2" s="20" t="str">
        <f>image("https://pokejungle.net/sprites/normal/"&amp;D1&amp;".png")</f>
        <v/>
      </c>
      <c r="F2" s="16" t="str">
        <f>image("https://i.imgur.com/lpOVjtL.png")</f>
        <v/>
      </c>
      <c r="G2" s="20" t="str">
        <f>image("https://pokejungle.net/sprites/normal/"&amp;F1&amp;".png")</f>
        <v/>
      </c>
      <c r="H2" s="24" t="str">
        <f>image("https://i.imgur.com/EkqYYOB.png")</f>
        <v/>
      </c>
      <c r="I2" s="20" t="str">
        <f>image("https://pokejungle.net/sprites/normal/"&amp;H1&amp;"-1.png")</f>
        <v/>
      </c>
      <c r="J2" s="16" t="str">
        <f>image("https://i.imgur.com/EkqYYOB.png")</f>
        <v/>
      </c>
      <c r="K2" s="20" t="str">
        <f>image("https://pokejungle.net/sprites/normal/"&amp;J1&amp;".png")</f>
        <v/>
      </c>
      <c r="L2" s="28" t="str">
        <f>image("https://i.imgur.com/RqSOGo6.png")</f>
        <v/>
      </c>
      <c r="M2" s="20" t="str">
        <f>image("https://pokejungle.net/sprites/normal/"&amp;L1&amp;".png")</f>
        <v/>
      </c>
      <c r="N2" s="16" t="str">
        <f>image("https://i.imgur.com/EkqYYOB.png")</f>
        <v/>
      </c>
      <c r="O2" s="20" t="str">
        <f>image("https://pokejungle.net/sprites/normal/"&amp;N1&amp;".png")</f>
        <v/>
      </c>
      <c r="P2" s="16" t="str">
        <f>image("https://i.imgur.com/XNzvO0H.png")</f>
        <v/>
      </c>
      <c r="Q2" s="20" t="str">
        <f>image("https://pokejungle.net/sprites/normal/"&amp;P1&amp;".png")</f>
        <v/>
      </c>
      <c r="R2" s="33"/>
    </row>
    <row r="3" ht="26.25" customHeight="1">
      <c r="A3" s="15"/>
      <c r="B3" s="38" t="str">
        <f>image("https://i.imgur.com/VQL4lPa.png")</f>
        <v/>
      </c>
      <c r="C3" s="36"/>
      <c r="D3" s="35" t="str">
        <f>image("https://i.imgur.com/VQL4lPa.png")</f>
        <v/>
      </c>
      <c r="E3" s="36"/>
      <c r="F3" s="38" t="str">
        <f>image("https://i.imgur.com/N2Wqr43.png")</f>
        <v/>
      </c>
      <c r="G3" s="36"/>
      <c r="H3" s="37" t="str">
        <f>image("https://i.imgur.com/RqSOGo6.png")</f>
        <v/>
      </c>
      <c r="I3" s="36"/>
      <c r="J3" s="38" t="str">
        <f>image("https://i.imgur.com/RqSOGo6.png")</f>
        <v/>
      </c>
      <c r="K3" s="36"/>
      <c r="L3" s="35" t="str">
        <f>image("https://i.imgur.com/EkqYYOB.png")</f>
        <v/>
      </c>
      <c r="M3" s="36"/>
      <c r="N3" s="38" t="str">
        <f>image("https://i.imgur.com/GyNf8BH.png")</f>
        <v/>
      </c>
      <c r="O3" s="36"/>
      <c r="P3" s="38"/>
      <c r="Q3" s="36"/>
      <c r="R3" s="33"/>
    </row>
    <row r="4" ht="26.25" customHeight="1">
      <c r="A4" s="15"/>
      <c r="B4" s="40"/>
      <c r="C4" s="41"/>
      <c r="D4" s="40"/>
      <c r="E4" s="41"/>
      <c r="F4" s="40" t="str">
        <f>image("https://i.imgur.com/VQL4lPa.png")</f>
        <v/>
      </c>
      <c r="G4" s="41"/>
      <c r="H4" s="40" t="str">
        <f>image("https://i.imgur.com/rJhTvoD.png")</f>
        <v/>
      </c>
      <c r="I4" s="41"/>
      <c r="J4" s="40"/>
      <c r="K4" s="41"/>
      <c r="L4" s="43"/>
      <c r="M4" s="41"/>
      <c r="N4" s="40" t="str">
        <f>image("https://i.imgur.com/RqSOGo6.png")</f>
        <v/>
      </c>
      <c r="O4" s="41"/>
      <c r="P4" s="40"/>
      <c r="Q4" s="41"/>
      <c r="R4" s="33"/>
    </row>
    <row r="5" ht="26.25" customHeight="1">
      <c r="A5" s="15"/>
      <c r="B5" s="16" t="str">
        <f>image("https://i.imgur.com/SF5CZ6U.png")</f>
        <v/>
      </c>
      <c r="C5" s="20" t="str">
        <f>image("https://pokejungle.net/sprites/shiny/"&amp;B1&amp;".png")</f>
        <v/>
      </c>
      <c r="D5" s="16" t="str">
        <f>image("https://i.imgur.com/SF5CZ6U.png")</f>
        <v/>
      </c>
      <c r="E5" s="20" t="str">
        <f>image("https://pokejungle.net/sprites/shiny/"&amp;D1&amp;".png")</f>
        <v/>
      </c>
      <c r="F5" s="16" t="str">
        <f>image("https://i.imgur.com/SF5CZ6U.png")</f>
        <v/>
      </c>
      <c r="G5" s="20" t="str">
        <f>image("https://pokejungle.net/sprites/shiny/"&amp;F1&amp;".png")</f>
        <v/>
      </c>
      <c r="H5" s="16" t="str">
        <f>image("https://i.imgur.com/N2Wqr43.png")</f>
        <v/>
      </c>
      <c r="I5" s="20" t="str">
        <f>image("https://pokejungle.net/sprites/shiny/"&amp;H1&amp;"-1.png")</f>
        <v/>
      </c>
      <c r="J5" s="16" t="str">
        <f>image("https://i.imgur.com/GyNf8BH.png")</f>
        <v/>
      </c>
      <c r="K5" s="20" t="str">
        <f>image("https://pokejungle.net/sprites/shiny/"&amp;J1&amp;".png")</f>
        <v/>
      </c>
      <c r="L5" s="16" t="str">
        <f>image("https://i.imgur.com/GyNf8BH.png")</f>
        <v/>
      </c>
      <c r="M5" s="20" t="str">
        <f>image("https://pokejungle.net/sprites/shiny/"&amp;L1&amp;".png")</f>
        <v/>
      </c>
      <c r="N5" s="16" t="str">
        <f>image("https://i.imgur.com/GyNf8BH.png")</f>
        <v/>
      </c>
      <c r="O5" s="20" t="str">
        <f>image("https://pokejungle.net/sprites/shiny/"&amp;N1&amp;".png")</f>
        <v/>
      </c>
      <c r="P5" s="16" t="str">
        <f>image("https://i.imgur.com/XNzvO0H.png")</f>
        <v/>
      </c>
      <c r="Q5" s="20" t="str">
        <f>image("https://pokejungle.net/sprites/shiny/"&amp;P1&amp;".png")</f>
        <v/>
      </c>
      <c r="R5" s="33"/>
    </row>
    <row r="6" ht="26.25" customHeight="1">
      <c r="A6" s="15"/>
      <c r="B6" s="38" t="str">
        <f>image("https://i.imgur.com/ef1o2lD.png")</f>
        <v/>
      </c>
      <c r="C6" s="36"/>
      <c r="D6" s="46" t="str">
        <f>image("https://i.imgur.com/ef1o2lD.png")</f>
        <v/>
      </c>
      <c r="E6" s="36"/>
      <c r="F6" s="35" t="str">
        <f>image("https://i.imgur.com/ef1o2lD.png")</f>
        <v/>
      </c>
      <c r="G6" s="36"/>
      <c r="H6" s="46" t="str">
        <f>image("https://i.imgur.com/VQL4lPa.png")</f>
        <v/>
      </c>
      <c r="I6" s="36"/>
      <c r="J6" s="38" t="str">
        <f>image("https://i.imgur.com/0ArMZjJ.png")</f>
        <v/>
      </c>
      <c r="K6" s="36"/>
      <c r="L6" s="38" t="str">
        <f>image("https://i.imgur.com/0ArMZjJ.png")</f>
        <v/>
      </c>
      <c r="M6" s="36"/>
      <c r="N6" s="38" t="str">
        <f>image("https://i.imgur.com/0ArMZjJ.png")</f>
        <v/>
      </c>
      <c r="O6" s="36"/>
      <c r="P6" s="38" t="str">
        <f>image("https://i.imgur.com/XI18XGu.png")</f>
        <v/>
      </c>
      <c r="Q6" s="36"/>
      <c r="R6" s="33"/>
    </row>
    <row r="7" ht="26.25" customHeight="1">
      <c r="A7" s="15"/>
      <c r="B7" s="40" t="str">
        <f>image("https://i.imgur.com/0ArMZjJ.png")</f>
        <v/>
      </c>
      <c r="C7" s="41"/>
      <c r="D7" s="43" t="str">
        <f>image("https://i.imgur.com/0ArMZjJ.png")</f>
        <v/>
      </c>
      <c r="E7" s="41"/>
      <c r="F7" s="40" t="str">
        <f>image("https://i.imgur.com/JDgAgAO.png")</f>
        <v/>
      </c>
      <c r="G7" s="41"/>
      <c r="H7" s="43"/>
      <c r="I7" s="41"/>
      <c r="J7" s="40" t="str">
        <f>image("https://i.imgur.com/lKAfx6k.png")</f>
        <v/>
      </c>
      <c r="K7" s="41"/>
      <c r="L7" s="40" t="str">
        <f>image("https://i.imgur.com/lKAfx6k.png")</f>
        <v/>
      </c>
      <c r="M7" s="41"/>
      <c r="N7" s="38" t="str">
        <f>image("https://i.imgur.com/JOd7Boe.png")</f>
        <v/>
      </c>
      <c r="O7" s="41"/>
      <c r="P7" s="40"/>
      <c r="Q7" s="41"/>
      <c r="R7" s="33"/>
    </row>
    <row r="8" ht="18.75" customHeight="1">
      <c r="A8" s="6"/>
      <c r="B8" s="8" t="s">
        <v>1318</v>
      </c>
      <c r="C8" s="10" t="s">
        <v>1319</v>
      </c>
      <c r="D8" s="8" t="s">
        <v>1320</v>
      </c>
      <c r="E8" s="10" t="s">
        <v>1321</v>
      </c>
      <c r="F8" s="8" t="s">
        <v>1322</v>
      </c>
      <c r="G8" s="10" t="s">
        <v>1324</v>
      </c>
      <c r="H8" s="8" t="s">
        <v>1326</v>
      </c>
      <c r="I8" s="10" t="s">
        <v>1328</v>
      </c>
      <c r="J8" s="8" t="s">
        <v>1330</v>
      </c>
      <c r="K8" s="10" t="s">
        <v>1332</v>
      </c>
      <c r="L8" s="8" t="s">
        <v>1334</v>
      </c>
      <c r="M8" s="10" t="s">
        <v>1336</v>
      </c>
      <c r="N8" s="8" t="s">
        <v>1338</v>
      </c>
      <c r="O8" s="10" t="s">
        <v>1340</v>
      </c>
      <c r="P8" s="8" t="s">
        <v>1342</v>
      </c>
      <c r="Q8" s="10" t="s">
        <v>1344</v>
      </c>
      <c r="R8" s="14"/>
    </row>
    <row r="9" ht="26.25" customHeight="1">
      <c r="A9" s="15"/>
      <c r="B9" s="16" t="str">
        <f>image("https://i.imgur.com/XNzvO0H.png")</f>
        <v/>
      </c>
      <c r="C9" s="20" t="str">
        <f>image("https://pokejungle.net/sprites/normal/"&amp;B8&amp;".png")</f>
        <v/>
      </c>
      <c r="D9" s="16" t="str">
        <f>image("https://i.imgur.com/XNzvO0H.png")</f>
        <v/>
      </c>
      <c r="E9" s="20" t="str">
        <f>image("https://pokejungle.net/sprites/normal/"&amp;D8&amp;".png")</f>
        <v/>
      </c>
      <c r="F9" s="16" t="str">
        <f>image("https://i.imgur.com/JOd7Boe.png")</f>
        <v/>
      </c>
      <c r="G9" s="20" t="str">
        <f>image("https://pokejungle.net/sprites/normal/"&amp;F8&amp;".png")</f>
        <v/>
      </c>
      <c r="H9" s="24" t="str">
        <f>image("https://i.imgur.com/JOd7Boe.png")</f>
        <v/>
      </c>
      <c r="I9" s="20" t="str">
        <f>image("https://pokejungle.net/sprites/normal/"&amp;H8&amp;".png")</f>
        <v/>
      </c>
      <c r="J9" s="16" t="str">
        <f>image("https://i.imgur.com/RqSOGo6.png")</f>
        <v/>
      </c>
      <c r="K9" s="20" t="str">
        <f>image("https://pokejungle.net/sprites/normal/"&amp;J8&amp;".png")</f>
        <v/>
      </c>
      <c r="L9" s="28" t="str">
        <f>image("https://i.imgur.com/rAI9Gyi.png")</f>
        <v/>
      </c>
      <c r="M9" s="20" t="str">
        <f>image("https://pokejungle.net/sprites/normal/"&amp;L8&amp;".png")</f>
        <v/>
      </c>
      <c r="N9" s="16" t="str">
        <f>image("https://i.imgur.com/rAI9Gyi.png")</f>
        <v/>
      </c>
      <c r="O9" s="20" t="str">
        <f>image("https://pokejungle.net/sprites/normal/"&amp;N8&amp;".png")</f>
        <v/>
      </c>
      <c r="P9" s="16" t="str">
        <f>image("https://i.imgur.com/RqSOGo6.png")</f>
        <v/>
      </c>
      <c r="Q9" s="20" t="str">
        <f>image("https://pokejungle.net/sprites/normal/"&amp;P8&amp;".png")</f>
        <v/>
      </c>
      <c r="R9" s="33"/>
    </row>
    <row r="10" ht="26.25" customHeight="1">
      <c r="A10" s="15"/>
      <c r="B10" s="38"/>
      <c r="C10" s="36"/>
      <c r="D10" s="38" t="str">
        <f>image("https://i.imgur.com/rAI9Gyi.png")</f>
        <v/>
      </c>
      <c r="E10" s="36"/>
      <c r="F10" s="35" t="str">
        <f>image("https://i.imgur.com/EkqYYOB.png")</f>
        <v/>
      </c>
      <c r="G10" s="36"/>
      <c r="H10" s="37" t="str">
        <f>image("https://i.imgur.com/EkqYYOB.png")</f>
        <v/>
      </c>
      <c r="I10" s="36"/>
      <c r="J10" s="38" t="str">
        <f>image("https://i.imgur.com/EkqYYOB.png")</f>
        <v/>
      </c>
      <c r="K10" s="36"/>
      <c r="L10" s="35" t="str">
        <f>image("https://i.imgur.com/XIu6jDl.png")</f>
        <v/>
      </c>
      <c r="M10" s="36"/>
      <c r="N10" s="38" t="str">
        <f>image("https://i.imgur.com/XIu6jDl.png")</f>
        <v/>
      </c>
      <c r="O10" s="36"/>
      <c r="P10" s="38" t="str">
        <f>image("https://i.imgur.com/lKAfx6k.png")</f>
        <v/>
      </c>
      <c r="Q10" s="36"/>
      <c r="R10" s="33"/>
    </row>
    <row r="11" ht="26.25" customHeight="1">
      <c r="A11" s="15"/>
      <c r="B11" s="40"/>
      <c r="C11" s="41"/>
      <c r="D11" s="40" t="str">
        <f>image("https://i.imgur.com/a9HBljD.png")</f>
        <v/>
      </c>
      <c r="E11" s="41"/>
      <c r="F11" s="40"/>
      <c r="G11" s="41"/>
      <c r="H11" s="40"/>
      <c r="I11" s="41"/>
      <c r="J11" s="40" t="str">
        <f>image("https://i.imgur.com/JOd7Boe.png")</f>
        <v/>
      </c>
      <c r="K11" s="41"/>
      <c r="L11" s="43" t="str">
        <f>image("https://i.imgur.com/beHgI95.png")</f>
        <v/>
      </c>
      <c r="M11" s="41"/>
      <c r="N11" s="40" t="str">
        <f>image("https://i.imgur.com/beHgI95.png")</f>
        <v/>
      </c>
      <c r="O11" s="41"/>
      <c r="P11" s="40"/>
      <c r="Q11" s="41"/>
      <c r="R11" s="33"/>
    </row>
    <row r="12" ht="26.25" customHeight="1">
      <c r="A12" s="15"/>
      <c r="B12" s="16" t="str">
        <f>image("https://i.imgur.com/XI18XGu.png")</f>
        <v/>
      </c>
      <c r="C12" s="20" t="str">
        <f>image("https://pokejungle.net/sprites/shiny/"&amp;B8&amp;".png")</f>
        <v/>
      </c>
      <c r="D12" s="16" t="str">
        <f>image("https://i.imgur.com/rAI9Gyi.png")</f>
        <v/>
      </c>
      <c r="E12" s="20" t="str">
        <f>image("https://pokejungle.net/sprites/shiny/"&amp;D8&amp;".png")</f>
        <v/>
      </c>
      <c r="F12" s="16" t="str">
        <f>image("https://i.imgur.com/JOd7Boe.png")</f>
        <v/>
      </c>
      <c r="G12" s="20" t="str">
        <f>image("https://pokejungle.net/sprites/shiny/"&amp;F8&amp;".png")</f>
        <v/>
      </c>
      <c r="H12" s="16" t="str">
        <f>image("https://i.imgur.com/JOd7Boe.png")</f>
        <v/>
      </c>
      <c r="I12" s="20" t="str">
        <f>image("https://pokejungle.net/sprites/shiny/"&amp;H8&amp;".png")</f>
        <v/>
      </c>
      <c r="J12" s="16" t="str">
        <f>image("https://i.imgur.com/SF5CZ6U.png")</f>
        <v/>
      </c>
      <c r="K12" s="20" t="str">
        <f>image("https://pokejungle.net/sprites/shiny/"&amp;J8&amp;".png")</f>
        <v/>
      </c>
      <c r="L12" s="16" t="str">
        <f>image("https://i.imgur.com/rAI9Gyi.png")</f>
        <v/>
      </c>
      <c r="M12" s="20" t="str">
        <f>image("https://pokejungle.net/sprites/shiny/"&amp;L8&amp;".png")</f>
        <v/>
      </c>
      <c r="N12" s="16" t="str">
        <f>image("https://i.imgur.com/rAI9Gyi.png")</f>
        <v/>
      </c>
      <c r="O12" s="20" t="str">
        <f>image("https://pokejungle.net/sprites/shiny/"&amp;N8&amp;".png")</f>
        <v/>
      </c>
      <c r="P12" s="16" t="str">
        <f>image("https://i.imgur.com/bxys1sd.png")</f>
        <v/>
      </c>
      <c r="Q12" s="20" t="str">
        <f>image("https://pokejungle.net/sprites/shiny/"&amp;P8&amp;".png")</f>
        <v/>
      </c>
      <c r="R12" s="33"/>
    </row>
    <row r="13" ht="26.25" customHeight="1">
      <c r="A13" s="15"/>
      <c r="B13" s="38" t="str">
        <f>image("https://i.imgur.com/rAI9Gyi.png")</f>
        <v/>
      </c>
      <c r="C13" s="36"/>
      <c r="D13" s="46" t="str">
        <f>image("https://i.imgur.com/0ArMZjJ.png")</f>
        <v/>
      </c>
      <c r="E13" s="36"/>
      <c r="F13" s="35" t="str">
        <f>image("https://i.imgur.com/0ArMZjJ.png")</f>
        <v/>
      </c>
      <c r="G13" s="36"/>
      <c r="H13" s="46" t="str">
        <f>image("https://i.imgur.com/EkqYYOB.png")</f>
        <v/>
      </c>
      <c r="I13" s="36"/>
      <c r="J13" s="38" t="str">
        <f>image("https://i.imgur.com/rAI9Gyi.png")</f>
        <v/>
      </c>
      <c r="K13" s="36"/>
      <c r="L13" s="46" t="str">
        <f>image("https://i.imgur.com/a9HBljD.png")</f>
        <v/>
      </c>
      <c r="M13" s="36"/>
      <c r="N13" s="38" t="str">
        <f>image("https://i.imgur.com/a9HBljD.png")</f>
        <v/>
      </c>
      <c r="O13" s="36"/>
      <c r="P13" s="38" t="str">
        <f>image("https://i.imgur.com/GyNf8BH.png")</f>
        <v/>
      </c>
      <c r="Q13" s="36"/>
      <c r="R13" s="33"/>
    </row>
    <row r="14" ht="26.25" customHeight="1">
      <c r="A14" s="15"/>
      <c r="B14" s="40" t="str">
        <f>image("https://i.imgur.com/nNTmuH8.png")</f>
        <v/>
      </c>
      <c r="C14" s="41"/>
      <c r="D14" s="40" t="str">
        <f>image("https://i.imgur.com/a9HBljD.png")</f>
        <v/>
      </c>
      <c r="E14" s="41"/>
      <c r="F14" s="40" t="str">
        <f>image("https://i.imgur.com/EkqYYOB.png")</f>
        <v/>
      </c>
      <c r="G14" s="41"/>
      <c r="H14" s="43"/>
      <c r="I14" s="41"/>
      <c r="J14" s="40" t="str">
        <f>image("https://i.imgur.com/EkqYYOB.png")</f>
        <v/>
      </c>
      <c r="K14" s="41"/>
      <c r="L14" s="43"/>
      <c r="M14" s="41"/>
      <c r="N14" s="40"/>
      <c r="O14" s="41"/>
      <c r="P14" s="40"/>
      <c r="Q14" s="41"/>
      <c r="R14" s="33"/>
    </row>
    <row r="15" ht="18.75" customHeight="1">
      <c r="A15" s="6"/>
      <c r="B15" s="8" t="s">
        <v>1364</v>
      </c>
      <c r="C15" s="10" t="s">
        <v>1365</v>
      </c>
      <c r="D15" s="8" t="s">
        <v>1367</v>
      </c>
      <c r="E15" s="10" t="s">
        <v>1368</v>
      </c>
      <c r="F15" s="8" t="s">
        <v>1369</v>
      </c>
      <c r="G15" s="10" t="s">
        <v>1370</v>
      </c>
      <c r="H15" s="8" t="s">
        <v>1371</v>
      </c>
      <c r="I15" s="10" t="s">
        <v>1372</v>
      </c>
      <c r="J15" s="8" t="s">
        <v>1373</v>
      </c>
      <c r="K15" s="10" t="s">
        <v>1374</v>
      </c>
      <c r="L15" s="8" t="s">
        <v>1373</v>
      </c>
      <c r="M15" s="68" t="s">
        <v>1375</v>
      </c>
      <c r="N15" s="8" t="s">
        <v>1373</v>
      </c>
      <c r="O15" s="10" t="s">
        <v>1376</v>
      </c>
      <c r="P15" s="8" t="s">
        <v>1373</v>
      </c>
      <c r="Q15" s="10" t="s">
        <v>1377</v>
      </c>
      <c r="R15" s="14"/>
    </row>
    <row r="16" ht="26.25" customHeight="1">
      <c r="A16" s="15"/>
      <c r="B16" s="16" t="str">
        <f>image("https://i.imgur.com/XIu6jDl.png")</f>
        <v/>
      </c>
      <c r="C16" s="20" t="str">
        <f>image("https://pokejungle.net/sprites/normal/"&amp;B15&amp;".png")</f>
        <v/>
      </c>
      <c r="D16" s="16" t="str">
        <f>image("https://i.imgur.com/XzidFHI.png")</f>
        <v/>
      </c>
      <c r="E16" s="20" t="str">
        <f>image("https://pokejungle.net/sprites/normal/"&amp;D15&amp;".png")</f>
        <v/>
      </c>
      <c r="F16" s="16" t="str">
        <f>image("https://i.imgur.com/zpybKax.png")</f>
        <v/>
      </c>
      <c r="G16" s="20" t="str">
        <f>image("https://pokejungle.net/sprites/normal/"&amp;F15&amp;".png")</f>
        <v/>
      </c>
      <c r="H16" s="24" t="str">
        <f>image("https://i.imgur.com/XNzvO0H.png")</f>
        <v/>
      </c>
      <c r="I16" s="20" t="str">
        <f>image("https://pokejungle.net/sprites/normal/"&amp;H15&amp;".png")</f>
        <v/>
      </c>
      <c r="J16" s="16" t="str">
        <f>image("https://i.imgur.com/bxys1sd.png")</f>
        <v/>
      </c>
      <c r="K16" s="20" t="str">
        <f>image("https://pokejungle.net/sprites/normal/"&amp;J15&amp;".png")</f>
        <v/>
      </c>
      <c r="L16" s="28" t="str">
        <f>image("https://i.imgur.com/beHgI95.png")</f>
        <v/>
      </c>
      <c r="M16" s="20" t="str">
        <f>image("https://pokejungle.net/sprites/normal/"&amp;L15&amp;"-1.png")</f>
        <v/>
      </c>
      <c r="N16" s="16" t="str">
        <f>image("https://i.imgur.com/a9HBljD.png")</f>
        <v/>
      </c>
      <c r="O16" s="20" t="str">
        <f>image("https://pokejungle.net/sprites/normal/"&amp;N15&amp;"-2.png")</f>
        <v/>
      </c>
      <c r="P16" s="16" t="str">
        <f>image("https://i.imgur.com/XI18XGu.png")</f>
        <v/>
      </c>
      <c r="Q16" s="20" t="str">
        <f>image("https://pokejungle.net/sprites/normal/"&amp;P15&amp;"-3.png")</f>
        <v/>
      </c>
      <c r="R16" s="33"/>
    </row>
    <row r="17" ht="26.25" customHeight="1">
      <c r="A17" s="15"/>
      <c r="B17" s="46" t="str">
        <f>image("https://i.imgur.com/VQL4lPa.png")</f>
        <v/>
      </c>
      <c r="C17" s="36"/>
      <c r="D17" s="35" t="str">
        <f>image("https://i.imgur.com/zpybKax.png")</f>
        <v/>
      </c>
      <c r="E17" s="36"/>
      <c r="F17" s="35" t="str">
        <f>image("https://i.imgur.com/rAI9Gyi.png")</f>
        <v/>
      </c>
      <c r="G17" s="36"/>
      <c r="H17" s="37" t="str">
        <f>image("https://i.imgur.com/zpybKax.png")</f>
        <v/>
      </c>
      <c r="I17" s="36"/>
      <c r="J17" s="38" t="str">
        <f>image("https://i.imgur.com/GyNf8BH.png")</f>
        <v/>
      </c>
      <c r="K17" s="36"/>
      <c r="L17" s="35" t="str">
        <f>image("https://i.imgur.com/zpybKax.png")</f>
        <v/>
      </c>
      <c r="M17" s="36"/>
      <c r="N17" s="38" t="str">
        <f>image("https://i.imgur.com/rAI9Gyi.png")</f>
        <v/>
      </c>
      <c r="O17" s="36"/>
      <c r="P17" s="38" t="str">
        <f>image("https://i.imgur.com/XNzvO0H.png")</f>
        <v/>
      </c>
      <c r="Q17" s="36"/>
      <c r="R17" s="33"/>
    </row>
    <row r="18" ht="26.25" customHeight="1">
      <c r="A18" s="15"/>
      <c r="B18" s="40"/>
      <c r="C18" s="41"/>
      <c r="D18" s="40"/>
      <c r="E18" s="41"/>
      <c r="F18" s="40"/>
      <c r="G18" s="41"/>
      <c r="H18" s="40" t="str">
        <f t="shared" ref="H18:H19" si="1">image("https://i.imgur.com/0ArMZjJ.png")</f>
        <v/>
      </c>
      <c r="I18" s="41"/>
      <c r="J18" s="38" t="str">
        <f>image("https://i.imgur.com/JOd7Boe.png")</f>
        <v/>
      </c>
      <c r="K18" s="41"/>
      <c r="L18" s="43"/>
      <c r="M18" s="41"/>
      <c r="N18" s="40"/>
      <c r="O18" s="41"/>
      <c r="P18" s="40" t="str">
        <f>image("https://i.imgur.com/rAI9Gyi.png")</f>
        <v/>
      </c>
      <c r="Q18" s="41"/>
      <c r="R18" s="33"/>
    </row>
    <row r="19" ht="26.25" customHeight="1">
      <c r="A19" s="15"/>
      <c r="B19" s="16" t="str">
        <f>image("https://i.imgur.com/GyNf8BH.png")</f>
        <v/>
      </c>
      <c r="C19" s="20" t="str">
        <f>image("https://pokejungle.net/sprites/shiny/"&amp;B15&amp;".png")</f>
        <v/>
      </c>
      <c r="D19" s="16" t="str">
        <f>image("https://i.imgur.com/VQL4lPa.png")</f>
        <v/>
      </c>
      <c r="E19" s="20" t="str">
        <f>image("https://pokejungle.net/sprites/shiny/"&amp;D15&amp;".png")</f>
        <v/>
      </c>
      <c r="F19" s="16" t="str">
        <f>image("https://i.imgur.com/lKAfx6k.png")</f>
        <v/>
      </c>
      <c r="G19" s="20" t="str">
        <f>image("https://pokejungle.net/sprites/shiny/"&amp;F15&amp;".png")</f>
        <v/>
      </c>
      <c r="H19" s="16" t="str">
        <f t="shared" si="1"/>
        <v/>
      </c>
      <c r="I19" s="20" t="str">
        <f>image("https://pokejungle.net/sprites/shiny/"&amp;H15&amp;".png")</f>
        <v/>
      </c>
      <c r="J19" s="16" t="str">
        <f>image("https://i.imgur.com/EkqYYOB.png")</f>
        <v/>
      </c>
      <c r="K19" s="20" t="str">
        <f>image("https://pokejungle.net/sprites/shiny/"&amp;J15&amp;".png")</f>
        <v/>
      </c>
      <c r="L19" s="16" t="str">
        <f>image("https://i.imgur.com/rJhTvoD.png")</f>
        <v/>
      </c>
      <c r="M19" s="20" t="str">
        <f>image("https://pokejungle.net/sprites/shiny/"&amp;L15&amp;"-1.png")</f>
        <v/>
      </c>
      <c r="N19" s="16" t="str">
        <f>image("https://i.imgur.com/a9HBljD.png")</f>
        <v/>
      </c>
      <c r="O19" s="20" t="str">
        <f>image("https://pokejungle.net/sprites/shiny/"&amp;N15&amp;"-2.png")</f>
        <v/>
      </c>
      <c r="P19" s="16" t="str">
        <f>image("https://i.imgur.com/XNzvO0H.png")</f>
        <v/>
      </c>
      <c r="Q19" s="20" t="str">
        <f>image("https://pokejungle.net/sprites/shiny/"&amp;P15&amp;"-3.png")</f>
        <v/>
      </c>
      <c r="R19" s="33"/>
    </row>
    <row r="20" ht="26.25" customHeight="1">
      <c r="A20" s="15"/>
      <c r="B20" s="46" t="str">
        <f>image("https://i.imgur.com/bxys1sd.png")</f>
        <v/>
      </c>
      <c r="C20" s="36"/>
      <c r="D20" s="46" t="str">
        <f>image("https://i.imgur.com/0ArMZjJ.png")</f>
        <v/>
      </c>
      <c r="E20" s="36"/>
      <c r="F20" s="35" t="str">
        <f>image("https://i.imgur.com/bxys1sd.png")</f>
        <v/>
      </c>
      <c r="G20" s="36"/>
      <c r="H20" s="46" t="str">
        <f>image("https://i.imgur.com/bxys1sd.png")</f>
        <v/>
      </c>
      <c r="I20" s="36"/>
      <c r="J20" s="38" t="str">
        <f>image("https://i.imgur.com/GyNf8BH.png")</f>
        <v/>
      </c>
      <c r="K20" s="36"/>
      <c r="L20" s="46" t="str">
        <f>image("https://i.imgur.com/beHgI95.png")</f>
        <v/>
      </c>
      <c r="M20" s="36"/>
      <c r="N20" s="38" t="str">
        <f>image("https://i.imgur.com/rAI9Gyi.png")</f>
        <v/>
      </c>
      <c r="O20" s="36"/>
      <c r="P20" s="38" t="str">
        <f>image("https://i.imgur.com/XI18XGu.png")</f>
        <v/>
      </c>
      <c r="Q20" s="36"/>
      <c r="R20" s="33"/>
    </row>
    <row r="21" ht="26.25" customHeight="1">
      <c r="A21" s="15"/>
      <c r="B21" s="43" t="str">
        <f>image("https://i.imgur.com/SF5CZ6U.png")</f>
        <v/>
      </c>
      <c r="C21" s="41"/>
      <c r="D21" s="43"/>
      <c r="E21" s="41"/>
      <c r="F21" s="40" t="str">
        <f>image("https://i.imgur.com/rAI9Gyi.png")</f>
        <v/>
      </c>
      <c r="G21" s="41"/>
      <c r="H21" s="43" t="str">
        <f>image("https://i.imgur.com/SF5CZ6U.png")</f>
        <v/>
      </c>
      <c r="I21" s="41"/>
      <c r="J21" s="38" t="str">
        <f>image("https://i.imgur.com/JOd7Boe.png")</f>
        <v/>
      </c>
      <c r="K21" s="41"/>
      <c r="L21" s="43" t="str">
        <f>image("https://i.imgur.com/zpybKax.png")</f>
        <v/>
      </c>
      <c r="M21" s="41"/>
      <c r="N21" s="40"/>
      <c r="O21" s="41"/>
      <c r="P21" s="40" t="str">
        <f>image("https://i.imgur.com/rAI9Gyi.png")</f>
        <v/>
      </c>
      <c r="Q21" s="41"/>
      <c r="R21" s="33"/>
    </row>
    <row r="22" ht="18.75" customHeight="1">
      <c r="A22" s="6"/>
      <c r="B22" s="8" t="s">
        <v>1425</v>
      </c>
      <c r="C22" s="10" t="s">
        <v>1426</v>
      </c>
      <c r="D22" s="8" t="s">
        <v>1427</v>
      </c>
      <c r="E22" s="10" t="s">
        <v>1428</v>
      </c>
      <c r="F22" s="8" t="s">
        <v>1429</v>
      </c>
      <c r="G22" s="10" t="s">
        <v>1430</v>
      </c>
      <c r="H22" s="8" t="s">
        <v>1431</v>
      </c>
      <c r="I22" s="10" t="s">
        <v>1432</v>
      </c>
      <c r="J22" s="8" t="s">
        <v>1431</v>
      </c>
      <c r="K22" s="87" t="s">
        <v>1433</v>
      </c>
      <c r="L22" s="8" t="s">
        <v>1431</v>
      </c>
      <c r="M22" s="10" t="s">
        <v>1434</v>
      </c>
      <c r="N22" s="8" t="s">
        <v>1435</v>
      </c>
      <c r="O22" s="10" t="s">
        <v>1436</v>
      </c>
      <c r="P22" s="8" t="s">
        <v>1437</v>
      </c>
      <c r="Q22" s="10" t="s">
        <v>1438</v>
      </c>
      <c r="R22" s="14"/>
    </row>
    <row r="23" ht="26.25" customHeight="1">
      <c r="A23" s="15"/>
      <c r="B23" s="16" t="str">
        <f>image("https://i.imgur.com/beHgI95.png")</f>
        <v/>
      </c>
      <c r="C23" s="20" t="str">
        <f>image("https://pokejungle.net/sprites/normal/"&amp;B22&amp;".png")</f>
        <v/>
      </c>
      <c r="D23" s="16" t="str">
        <f>image("https://i.imgur.com/beHgI95.png")</f>
        <v/>
      </c>
      <c r="E23" s="20" t="str">
        <f>image("https://pokejungle.net/sprites/normal/"&amp;D22&amp;".png")</f>
        <v/>
      </c>
      <c r="F23" s="16" t="str">
        <f>image("https://i.imgur.com/lpOVjtL.png")</f>
        <v/>
      </c>
      <c r="G23" s="20" t="str">
        <f>image("https://pokejungle.net/sprites/normal/"&amp;F22&amp;".png")</f>
        <v/>
      </c>
      <c r="H23" s="16" t="str">
        <f>image("https://i.imgur.com/lpOVjtL.png")</f>
        <v/>
      </c>
      <c r="I23" s="20" t="str">
        <f>image("https://pokejungle.net/sprites/normal/"&amp;H22&amp;".png")</f>
        <v/>
      </c>
      <c r="J23" s="16" t="str">
        <f>image("https://i.imgur.com/JOd7Boe.png")</f>
        <v/>
      </c>
      <c r="K23" s="20" t="str">
        <f>image("https://pokejungle.net/sprites/normal/"&amp;J22&amp;"-1.png")</f>
        <v/>
      </c>
      <c r="L23" s="28" t="str">
        <f>image("https://i.imgur.com/RqSOGo6.png")</f>
        <v/>
      </c>
      <c r="M23" s="20" t="str">
        <f>image("https://pokejungle.net/sprites/normal/"&amp;L22&amp;"-2.png")</f>
        <v/>
      </c>
      <c r="N23" s="16" t="str">
        <f>image("https://i.imgur.com/XNzvO0H.png")</f>
        <v/>
      </c>
      <c r="O23" s="20" t="str">
        <f>image("https://pokejungle.net/sprites/normal/"&amp;N22&amp;".png")</f>
        <v/>
      </c>
      <c r="P23" s="16" t="str">
        <f>image("https://i.imgur.com/rAI9Gyi.png")</f>
        <v/>
      </c>
      <c r="Q23" s="20" t="str">
        <f>image("https://pokejungle.net/sprites/normal/"&amp;P22&amp;".png")</f>
        <v/>
      </c>
      <c r="R23" s="33"/>
    </row>
    <row r="24" ht="26.25" customHeight="1">
      <c r="A24" s="15"/>
      <c r="B24" s="38" t="str">
        <f>image("https://i.imgur.com/rJhTvoD.png")</f>
        <v/>
      </c>
      <c r="C24" s="36"/>
      <c r="D24" s="38" t="str">
        <f>image("https://i.imgur.com/rJhTvoD.png")</f>
        <v/>
      </c>
      <c r="E24" s="36"/>
      <c r="F24" s="38" t="str">
        <f>image("https://i.imgur.com/XIu6jDl.png")</f>
        <v/>
      </c>
      <c r="G24" s="36"/>
      <c r="H24" s="38" t="str">
        <f>image("https://i.imgur.com/XIu6jDl.png")</f>
        <v/>
      </c>
      <c r="I24" s="36"/>
      <c r="J24" s="46" t="str">
        <f>image("https://i.imgur.com/bxys1sd.png")</f>
        <v/>
      </c>
      <c r="K24" s="36"/>
      <c r="L24" s="38" t="str">
        <f>image("https://i.imgur.com/lKAfx6k.png")</f>
        <v/>
      </c>
      <c r="M24" s="36"/>
      <c r="N24" s="38"/>
      <c r="O24" s="36"/>
      <c r="P24" s="38" t="str">
        <f>image("https://i.imgur.com/XNzvO0H.png")</f>
        <v/>
      </c>
      <c r="Q24" s="36"/>
      <c r="R24" s="33"/>
    </row>
    <row r="25" ht="26.25" customHeight="1">
      <c r="A25" s="15"/>
      <c r="B25" s="40"/>
      <c r="C25" s="41"/>
      <c r="D25" s="40"/>
      <c r="E25" s="41"/>
      <c r="F25" s="40"/>
      <c r="G25" s="41"/>
      <c r="H25" s="40"/>
      <c r="I25" s="41"/>
      <c r="J25" s="40" t="str">
        <f>image("https://i.imgur.com/GyNf8BH.png")</f>
        <v/>
      </c>
      <c r="K25" s="41"/>
      <c r="L25" s="43"/>
      <c r="M25" s="41"/>
      <c r="N25" s="40"/>
      <c r="O25" s="41"/>
      <c r="P25" s="40"/>
      <c r="Q25" s="41"/>
      <c r="R25" s="33"/>
    </row>
    <row r="26" ht="26.25" customHeight="1">
      <c r="A26" s="15"/>
      <c r="B26" s="16" t="str">
        <f>image("https://i.imgur.com/a9HBljD.png")</f>
        <v/>
      </c>
      <c r="C26" s="20" t="str">
        <f>image("https://pokejungle.net/sprites/shiny/"&amp;B22&amp;".png")</f>
        <v/>
      </c>
      <c r="D26" s="16" t="str">
        <f>image("https://i.imgur.com/a9HBljD.png")</f>
        <v/>
      </c>
      <c r="E26" s="20" t="str">
        <f>image("https://pokejungle.net/sprites/shiny/"&amp;D22&amp;".png")</f>
        <v/>
      </c>
      <c r="F26" s="16" t="str">
        <f>image("https://i.imgur.com/zpybKax.png")</f>
        <v/>
      </c>
      <c r="G26" s="20" t="str">
        <f>image("https://pokejungle.net/sprites/shiny/"&amp;F22&amp;".png")</f>
        <v/>
      </c>
      <c r="H26" s="16" t="str">
        <f>image("https://i.imgur.com/zpybKax.png")</f>
        <v/>
      </c>
      <c r="I26" s="20" t="str">
        <f>image("https://pokejungle.net/sprites/shiny/"&amp;H22&amp;".png")</f>
        <v/>
      </c>
      <c r="J26" s="16" t="str">
        <f>image("https://i.imgur.com/JDgAgAO.png")</f>
        <v/>
      </c>
      <c r="K26" s="20" t="str">
        <f>image("https://pokejungle.net/sprites/shiny/"&amp;J22&amp;"-1.png")</f>
        <v/>
      </c>
      <c r="L26" s="16" t="str">
        <f>image("https://i.imgur.com/JDgAgAO.png")</f>
        <v/>
      </c>
      <c r="M26" s="20" t="str">
        <f>image("https://pokejungle.net/sprites/shiny/"&amp;L22&amp;"-2.png")</f>
        <v/>
      </c>
      <c r="N26" s="16" t="str">
        <f>image("https://i.imgur.com/zpybKax.png")</f>
        <v/>
      </c>
      <c r="O26" s="20" t="str">
        <f>image("https://pokejungle.net/sprites/shiny/"&amp;N22&amp;".png")</f>
        <v/>
      </c>
      <c r="P26" s="16" t="str">
        <f>image("https://i.imgur.com/a9HBljD.png")</f>
        <v/>
      </c>
      <c r="Q26" s="20" t="str">
        <f>image("https://pokejungle.net/sprites/shiny/"&amp;P22&amp;".png")</f>
        <v/>
      </c>
      <c r="R26" s="33"/>
    </row>
    <row r="27" ht="26.25" customHeight="1">
      <c r="A27" s="15"/>
      <c r="B27" s="38" t="str">
        <f>image("https://i.imgur.com/rAI9Gyi.png")</f>
        <v/>
      </c>
      <c r="C27" s="36"/>
      <c r="D27" s="46" t="str">
        <f>image("https://i.imgur.com/rAI9Gyi.png")</f>
        <v/>
      </c>
      <c r="E27" s="36"/>
      <c r="F27" s="35" t="str">
        <f>image("https://i.imgur.com/XNzvO0H.png")</f>
        <v/>
      </c>
      <c r="G27" s="36"/>
      <c r="H27" s="46" t="str">
        <f>image("https://i.imgur.com/XNzvO0H.png")</f>
        <v/>
      </c>
      <c r="I27" s="36"/>
      <c r="J27" s="38" t="str">
        <f>image("https://i.imgur.com/XNzvO0H.png")</f>
        <v/>
      </c>
      <c r="K27" s="36"/>
      <c r="L27" s="46" t="str">
        <f>image("https://i.imgur.com/XNzvO0H.png")</f>
        <v/>
      </c>
      <c r="M27" s="36"/>
      <c r="N27" s="38" t="str">
        <f>image("https://i.imgur.com/XNzvO0H.png")</f>
        <v/>
      </c>
      <c r="O27" s="36"/>
      <c r="P27" s="38" t="str">
        <f>image("https://i.imgur.com/rAI9Gyi.png")</f>
        <v/>
      </c>
      <c r="Q27" s="36"/>
      <c r="R27" s="33"/>
    </row>
    <row r="28" ht="26.25" customHeight="1">
      <c r="A28" s="15"/>
      <c r="B28" s="40"/>
      <c r="C28" s="41"/>
      <c r="D28" s="43"/>
      <c r="E28" s="41"/>
      <c r="F28" s="40" t="str">
        <f>image("https://i.imgur.com/XzidFHI.png")</f>
        <v/>
      </c>
      <c r="G28" s="41"/>
      <c r="H28" s="40" t="str">
        <f>image("https://i.imgur.com/XzidFHI.png")</f>
        <v/>
      </c>
      <c r="I28" s="41"/>
      <c r="J28" s="43" t="str">
        <f>image("https://i.imgur.com/SF5CZ6U.png")</f>
        <v/>
      </c>
      <c r="K28" s="41"/>
      <c r="L28" s="40" t="str">
        <f>image("https://i.imgur.com/XzidFHI.png")</f>
        <v/>
      </c>
      <c r="M28" s="41"/>
      <c r="N28" s="40"/>
      <c r="O28" s="41"/>
      <c r="P28" s="40" t="str">
        <f>image("https://i.imgur.com/XI18XGu.png")</f>
        <v/>
      </c>
      <c r="Q28" s="41"/>
      <c r="R28" s="33"/>
    </row>
    <row r="29" ht="18.75" customHeight="1">
      <c r="A29" s="6"/>
      <c r="B29" s="8" t="s">
        <v>1469</v>
      </c>
      <c r="C29" s="10" t="s">
        <v>1470</v>
      </c>
      <c r="D29" s="8" t="s">
        <v>1471</v>
      </c>
      <c r="E29" s="10" t="s">
        <v>1472</v>
      </c>
      <c r="F29" s="8" t="s">
        <v>1473</v>
      </c>
      <c r="G29" s="10" t="s">
        <v>1474</v>
      </c>
      <c r="H29" s="8" t="s">
        <v>1475</v>
      </c>
      <c r="I29" s="10" t="s">
        <v>1476</v>
      </c>
      <c r="J29" s="8" t="s">
        <v>1477</v>
      </c>
      <c r="K29" s="10" t="s">
        <v>1478</v>
      </c>
      <c r="L29" s="8" t="s">
        <v>1479</v>
      </c>
      <c r="M29" s="10" t="s">
        <v>1480</v>
      </c>
      <c r="N29" s="8" t="s">
        <v>1481</v>
      </c>
      <c r="O29" s="10" t="s">
        <v>1482</v>
      </c>
      <c r="P29" s="8" t="s">
        <v>1483</v>
      </c>
      <c r="Q29" s="10" t="s">
        <v>1484</v>
      </c>
      <c r="R29" s="14"/>
    </row>
    <row r="30" ht="26.25" customHeight="1">
      <c r="A30" s="15"/>
      <c r="B30" s="16" t="str">
        <f>image("https://i.imgur.com/rAI9Gyi.png")</f>
        <v/>
      </c>
      <c r="C30" s="20" t="str">
        <f>image("https://pokejungle.net/sprites/normal/"&amp;B29&amp;".png")</f>
        <v/>
      </c>
      <c r="D30" s="16" t="str">
        <f>image("https://i.imgur.com/XIu6jDl.png")</f>
        <v/>
      </c>
      <c r="E30" s="20" t="str">
        <f>image("https://pokejungle.net/sprites/normal/"&amp;D29&amp;".png")</f>
        <v/>
      </c>
      <c r="F30" s="16" t="str">
        <f>image("https://i.imgur.com/RqSOGo6.png")</f>
        <v/>
      </c>
      <c r="G30" s="20" t="str">
        <f>image("https://pokejungle.net/sprites/normal/"&amp;F29&amp;".png")</f>
        <v/>
      </c>
      <c r="H30" s="24" t="str">
        <f>image("https://i.imgur.com/XzidFHI.png")</f>
        <v/>
      </c>
      <c r="I30" s="20" t="str">
        <f>image("https://pokejungle.net/sprites/normal/"&amp;H29&amp;".png")</f>
        <v/>
      </c>
      <c r="J30" s="16" t="str">
        <f>image("https://i.imgur.com/XzidFHI.png")</f>
        <v/>
      </c>
      <c r="K30" s="20" t="str">
        <f>image("https://pokejungle.net/sprites/normal/"&amp;J29&amp;".png")</f>
        <v/>
      </c>
      <c r="L30" s="28" t="str">
        <f>image("https://i.imgur.com/VQL4lPa.png")</f>
        <v/>
      </c>
      <c r="M30" s="20" t="str">
        <f>image("https://pokejungle.net/sprites/normal/"&amp;L29&amp;".png")</f>
        <v/>
      </c>
      <c r="N30" s="16" t="str">
        <f>image("https://i.imgur.com/bxys1sd.png")</f>
        <v/>
      </c>
      <c r="O30" s="20" t="str">
        <f>image("https://pokejungle.net/sprites/normal/"&amp;N29&amp;".png")</f>
        <v/>
      </c>
      <c r="P30" s="16" t="str">
        <f>image("https://i.imgur.com/a9HBljD.png")</f>
        <v/>
      </c>
      <c r="Q30" s="20" t="str">
        <f>image("https://pokejungle.net/sprites/normal/"&amp;P29&amp;".png")</f>
        <v/>
      </c>
      <c r="R30" s="33"/>
    </row>
    <row r="31" ht="26.25" customHeight="1">
      <c r="A31" s="15"/>
      <c r="B31" s="38" t="str">
        <f>image("https://i.imgur.com/XNzvO0H.png")</f>
        <v/>
      </c>
      <c r="C31" s="36"/>
      <c r="D31" s="35" t="str">
        <f>image("https://i.imgur.com/lpOVjtL.png")</f>
        <v/>
      </c>
      <c r="E31" s="36"/>
      <c r="F31" s="35" t="str">
        <f>image("https://i.imgur.com/JOd7Boe.png")</f>
        <v/>
      </c>
      <c r="G31" s="36"/>
      <c r="H31" s="37" t="str">
        <f>image("https://i.imgur.com/XNzvO0H.png")</f>
        <v/>
      </c>
      <c r="I31" s="36"/>
      <c r="J31" s="38" t="str">
        <f>image("https://i.imgur.com/XNzvO0H.png")</f>
        <v/>
      </c>
      <c r="K31" s="36"/>
      <c r="L31" s="35" t="str">
        <f>image("https://i.imgur.com/XIu6jDl.png")</f>
        <v/>
      </c>
      <c r="M31" s="36"/>
      <c r="N31" s="38" t="str">
        <f>image("https://i.imgur.com/GyNf8BH.png")</f>
        <v/>
      </c>
      <c r="O31" s="36"/>
      <c r="P31" s="38" t="str">
        <f>image("https://i.imgur.com/0ArMZjJ.png")</f>
        <v/>
      </c>
      <c r="Q31" s="36"/>
      <c r="R31" s="33"/>
    </row>
    <row r="32" ht="26.25" customHeight="1">
      <c r="A32" s="15"/>
      <c r="B32" s="40"/>
      <c r="C32" s="41"/>
      <c r="D32" s="40"/>
      <c r="E32" s="41"/>
      <c r="F32" s="40"/>
      <c r="G32" s="41"/>
      <c r="H32" s="40"/>
      <c r="I32" s="41"/>
      <c r="J32" s="40"/>
      <c r="K32" s="41"/>
      <c r="L32" s="43"/>
      <c r="M32" s="41"/>
      <c r="N32" s="40" t="str">
        <f>image("https://i.imgur.com/a9HBljD.png")</f>
        <v/>
      </c>
      <c r="O32" s="41"/>
      <c r="P32" s="40" t="str">
        <f>image("https://i.imgur.com/rAI9Gyi.png")</f>
        <v/>
      </c>
      <c r="Q32" s="41"/>
      <c r="R32" s="33"/>
    </row>
    <row r="33" ht="26.25" customHeight="1">
      <c r="A33" s="15"/>
      <c r="B33" s="16" t="str">
        <f>image("https://i.imgur.com/EkqYYOB.png")</f>
        <v/>
      </c>
      <c r="C33" s="20" t="str">
        <f>image("https://pokejungle.net/sprites/shiny/"&amp;B29&amp;".png")</f>
        <v/>
      </c>
      <c r="D33" s="16" t="str">
        <f>image("https://i.imgur.com/rJhTvoD.png")</f>
        <v/>
      </c>
      <c r="E33" s="20" t="str">
        <f>image("https://pokejungle.net/sprites/shiny/"&amp;D29&amp;".png")</f>
        <v/>
      </c>
      <c r="F33" s="16" t="str">
        <f>image("https://i.imgur.com/rJhTvoD.png")</f>
        <v/>
      </c>
      <c r="G33" s="20" t="str">
        <f>image("https://pokejungle.net/sprites/shiny/"&amp;F29&amp;".png")</f>
        <v/>
      </c>
      <c r="H33" s="16" t="str">
        <f>image("https://i.imgur.com/JOd7Boe.png")</f>
        <v/>
      </c>
      <c r="I33" s="20" t="str">
        <f>image("https://pokejungle.net/sprites/shiny/"&amp;H29&amp;".png")</f>
        <v/>
      </c>
      <c r="J33" s="16" t="str">
        <f>image("https://i.imgur.com/JOd7Boe.png")</f>
        <v/>
      </c>
      <c r="K33" s="20" t="str">
        <f>image("https://pokejungle.net/sprites/shiny/"&amp;J29&amp;".png")</f>
        <v/>
      </c>
      <c r="L33" s="16" t="str">
        <f>image("https://i.imgur.com/XIu6jDl.png")</f>
        <v/>
      </c>
      <c r="M33" s="20" t="str">
        <f>image("https://pokejungle.net/sprites/shiny/"&amp;L29&amp;".png")</f>
        <v/>
      </c>
      <c r="N33" s="16" t="str">
        <f>image("https://i.imgur.com/XIu6jDl.png")</f>
        <v/>
      </c>
      <c r="O33" s="20" t="str">
        <f>image("https://pokejungle.net/sprites/shiny/"&amp;N29&amp;".png")</f>
        <v/>
      </c>
      <c r="P33" s="16" t="str">
        <f>image("https://i.imgur.com/RqSOGo6.png")</f>
        <v/>
      </c>
      <c r="Q33" s="20" t="str">
        <f>image("https://pokejungle.net/sprites/shiny/"&amp;P29&amp;".png")</f>
        <v/>
      </c>
      <c r="R33" s="33"/>
    </row>
    <row r="34" ht="26.25" customHeight="1">
      <c r="A34" s="15"/>
      <c r="B34" s="38" t="str">
        <f>image("https://i.imgur.com/rAI9Gyi.png")</f>
        <v/>
      </c>
      <c r="C34" s="36"/>
      <c r="D34" s="46" t="str">
        <f>image("https://i.imgur.com/RqSOGo6.png")</f>
        <v/>
      </c>
      <c r="E34" s="36"/>
      <c r="F34" s="46" t="str">
        <f>image("https://i.imgur.com/RqSOGo6.png")</f>
        <v/>
      </c>
      <c r="G34" s="36"/>
      <c r="H34" s="38" t="str">
        <f>image("https://i.imgur.com/nNTmuH8.png")</f>
        <v/>
      </c>
      <c r="I34" s="36"/>
      <c r="J34" s="38" t="str">
        <f>image("https://i.imgur.com/nNTmuH8.png")</f>
        <v/>
      </c>
      <c r="K34" s="36"/>
      <c r="L34" s="46" t="str">
        <f>image("https://i.imgur.com/VQL4lPa.png")</f>
        <v/>
      </c>
      <c r="M34" s="36"/>
      <c r="N34" s="38" t="str">
        <f>image("https://i.imgur.com/VQL4lPa.png")</f>
        <v/>
      </c>
      <c r="O34" s="36"/>
      <c r="P34" s="38" t="str">
        <f>image("https://i.imgur.com/rJhTvoD.png")</f>
        <v/>
      </c>
      <c r="Q34" s="36"/>
      <c r="R34" s="33"/>
    </row>
    <row r="35" ht="26.25" customHeight="1">
      <c r="A35" s="15"/>
      <c r="B35" s="40" t="str">
        <f>image("https://i.imgur.com/a9HBljD.png")</f>
        <v/>
      </c>
      <c r="C35" s="41"/>
      <c r="D35" s="40" t="str">
        <f>image("https://i.imgur.com/lpOVjtL.png")</f>
        <v/>
      </c>
      <c r="E35" s="41"/>
      <c r="F35" s="40"/>
      <c r="G35" s="41"/>
      <c r="H35" s="43" t="str">
        <f>image("https://i.imgur.com/XNzvO0H.png")</f>
        <v/>
      </c>
      <c r="I35" s="41"/>
      <c r="J35" s="40" t="str">
        <f>image("https://i.imgur.com/XNzvO0H.png")</f>
        <v/>
      </c>
      <c r="K35" s="41"/>
      <c r="L35" s="43"/>
      <c r="M35" s="41"/>
      <c r="N35" s="40"/>
      <c r="O35" s="41"/>
      <c r="P35" s="40"/>
      <c r="Q35" s="41"/>
      <c r="R35" s="33"/>
    </row>
    <row r="36" ht="18.75" customHeight="1">
      <c r="A36" s="6"/>
      <c r="B36" s="8" t="s">
        <v>1521</v>
      </c>
      <c r="C36" s="10" t="s">
        <v>1522</v>
      </c>
      <c r="D36" s="8" t="s">
        <v>1523</v>
      </c>
      <c r="E36" s="10" t="s">
        <v>1524</v>
      </c>
      <c r="F36" s="8" t="s">
        <v>1525</v>
      </c>
      <c r="G36" s="10" t="s">
        <v>1526</v>
      </c>
      <c r="H36" s="8" t="s">
        <v>1527</v>
      </c>
      <c r="I36" s="10" t="s">
        <v>1528</v>
      </c>
      <c r="J36" s="8" t="s">
        <v>1529</v>
      </c>
      <c r="K36" s="10" t="s">
        <v>1530</v>
      </c>
      <c r="L36" s="8" t="s">
        <v>1531</v>
      </c>
      <c r="M36" s="10" t="s">
        <v>1532</v>
      </c>
      <c r="N36" s="8" t="s">
        <v>1533</v>
      </c>
      <c r="O36" s="10" t="s">
        <v>1534</v>
      </c>
      <c r="P36" s="8" t="s">
        <v>1535</v>
      </c>
      <c r="Q36" s="10" t="s">
        <v>1536</v>
      </c>
      <c r="R36" s="14"/>
    </row>
    <row r="37" ht="26.25" customHeight="1">
      <c r="A37" s="15"/>
      <c r="B37" s="16" t="str">
        <f>image("https://i.imgur.com/a9HBljD.png")</f>
        <v/>
      </c>
      <c r="C37" s="20" t="str">
        <f>image("https://pokejungle.net/sprites/normal/"&amp;B36&amp;".png")</f>
        <v/>
      </c>
      <c r="D37" s="16" t="str">
        <f>image("https://i.imgur.com/EkqYYOB.png")</f>
        <v/>
      </c>
      <c r="E37" s="20" t="str">
        <f>image("https://pokejungle.net/sprites/normal/"&amp;D36&amp;".png")</f>
        <v/>
      </c>
      <c r="F37" s="16" t="str">
        <f>image("https://i.imgur.com/EkqYYOB.png")</f>
        <v/>
      </c>
      <c r="G37" s="20" t="str">
        <f>image("https://pokejungle.net/sprites/normal/"&amp;F36&amp;".png")</f>
        <v/>
      </c>
      <c r="H37" s="24" t="str">
        <f>image("https://i.imgur.com/a9HBljD.png")</f>
        <v/>
      </c>
      <c r="I37" s="20" t="str">
        <f>image("https://pokejungle.net/sprites/normal/"&amp;H36&amp;".png")</f>
        <v/>
      </c>
      <c r="J37" s="16" t="str">
        <f>image("https://i.imgur.com/a9HBljD.png")</f>
        <v/>
      </c>
      <c r="K37" s="20" t="str">
        <f>image("https://pokejungle.net/sprites/normal/"&amp;J36&amp;".png")</f>
        <v/>
      </c>
      <c r="L37" s="28" t="str">
        <f>image("https://i.imgur.com/VQL4lPa.png")</f>
        <v/>
      </c>
      <c r="M37" s="20" t="str">
        <f>image("https://pokejungle.net/sprites/normal/"&amp;L36&amp;".png")</f>
        <v/>
      </c>
      <c r="N37" s="16" t="str">
        <f>image("https://i.imgur.com/VQL4lPa.png")</f>
        <v/>
      </c>
      <c r="O37" s="20" t="str">
        <f>image("https://pokejungle.net/sprites/normal/"&amp;N36&amp;".png")</f>
        <v/>
      </c>
      <c r="P37" s="16" t="str">
        <f>image("https://i.imgur.com/VQL4lPa.png")</f>
        <v/>
      </c>
      <c r="Q37" s="20" t="str">
        <f>image("https://pokejungle.net/sprites/normal/"&amp;P36&amp;".png")</f>
        <v/>
      </c>
      <c r="R37" s="33"/>
    </row>
    <row r="38" ht="26.25" customHeight="1">
      <c r="A38" s="15"/>
      <c r="B38" s="38" t="str">
        <f>image("https://i.imgur.com/rAI9Gyi.png")</f>
        <v/>
      </c>
      <c r="C38" s="36"/>
      <c r="D38" s="35" t="str">
        <f>image("https://i.imgur.com/N2Wqr43.png")</f>
        <v/>
      </c>
      <c r="E38" s="36"/>
      <c r="F38" s="35" t="str">
        <f>image("https://i.imgur.com/XI18XGu.png")</f>
        <v/>
      </c>
      <c r="G38" s="36"/>
      <c r="H38" s="37" t="str">
        <f>image("https://i.imgur.com/rAI9Gyi.png")</f>
        <v/>
      </c>
      <c r="I38" s="36"/>
      <c r="J38" s="38" t="str">
        <f>image("https://i.imgur.com/rAI9Gyi.png")</f>
        <v/>
      </c>
      <c r="K38" s="36"/>
      <c r="L38" s="35" t="str">
        <f>image("https://i.imgur.com/a9HBljD.png")</f>
        <v/>
      </c>
      <c r="M38" s="36"/>
      <c r="N38" s="38" t="str">
        <f>image("https://i.imgur.com/a9HBljD.png")</f>
        <v/>
      </c>
      <c r="O38" s="36"/>
      <c r="P38" s="38" t="str">
        <f>image("https://i.imgur.com/a9HBljD.png")</f>
        <v/>
      </c>
      <c r="Q38" s="36"/>
      <c r="R38" s="33"/>
    </row>
    <row r="39" ht="26.25" customHeight="1">
      <c r="A39" s="15"/>
      <c r="B39" s="40" t="str">
        <f>image("https://i.imgur.com/XI18XGu.png")</f>
        <v/>
      </c>
      <c r="C39" s="41"/>
      <c r="D39" s="40"/>
      <c r="E39" s="41"/>
      <c r="F39" s="40" t="str">
        <f>image("https://i.imgur.com/N2Wqr43.png")</f>
        <v/>
      </c>
      <c r="G39" s="41"/>
      <c r="H39" s="40" t="str">
        <f>image("https://i.imgur.com/XI18XGu.png")</f>
        <v/>
      </c>
      <c r="I39" s="41"/>
      <c r="J39" s="40" t="str">
        <f>image("https://i.imgur.com/XI18XGu.png")</f>
        <v/>
      </c>
      <c r="K39" s="41"/>
      <c r="L39" s="43" t="str">
        <f>image("https://i.imgur.com/XIu6jDl.png")</f>
        <v/>
      </c>
      <c r="M39" s="41"/>
      <c r="N39" s="40" t="str">
        <f>image("https://i.imgur.com/XIu6jDl.png")</f>
        <v/>
      </c>
      <c r="O39" s="41"/>
      <c r="P39" s="40" t="str">
        <f>image("https://i.imgur.com/XIu6jDl.png")</f>
        <v/>
      </c>
      <c r="Q39" s="41"/>
      <c r="R39" s="33"/>
    </row>
    <row r="40" ht="26.25" customHeight="1">
      <c r="A40" s="15"/>
      <c r="B40" s="16" t="str">
        <f>image("https://i.imgur.com/beHgI95.png")</f>
        <v/>
      </c>
      <c r="C40" s="20" t="str">
        <f>image("https://pokejungle.net/sprites/shiny/"&amp;B36&amp;".png")</f>
        <v/>
      </c>
      <c r="D40" s="16" t="str">
        <f>image("https://i.imgur.com/JOd7Boe.png")</f>
        <v/>
      </c>
      <c r="E40" s="20" t="str">
        <f>image("https://pokejungle.net/sprites/shiny/"&amp;D36&amp;".png")</f>
        <v/>
      </c>
      <c r="F40" s="16" t="str">
        <f>image("https://i.imgur.com/XI18XGu.png")</f>
        <v/>
      </c>
      <c r="G40" s="20" t="str">
        <f>image("https://pokejungle.net/sprites/shiny/"&amp;F36&amp;".png")</f>
        <v/>
      </c>
      <c r="H40" s="16" t="str">
        <f>image("https://i.imgur.com/rJhTvoD.png")</f>
        <v/>
      </c>
      <c r="I40" s="20" t="str">
        <f>image("https://pokejungle.net/sprites/shiny/"&amp;H36&amp;".png")</f>
        <v/>
      </c>
      <c r="J40" s="16" t="str">
        <f>image("https://i.imgur.com/rJhTvoD.png")</f>
        <v/>
      </c>
      <c r="K40" s="20" t="str">
        <f>image("https://pokejungle.net/sprites/shiny/"&amp;J36&amp;".png")</f>
        <v/>
      </c>
      <c r="L40" s="16" t="str">
        <f>image("https://i.imgur.com/XI18XGu.png")</f>
        <v/>
      </c>
      <c r="M40" s="20" t="str">
        <f>image("https://pokejungle.net/sprites/shiny/"&amp;L36&amp;".png")</f>
        <v/>
      </c>
      <c r="N40" s="16" t="str">
        <f>image("https://i.imgur.com/XI18XGu.png")</f>
        <v/>
      </c>
      <c r="O40" s="20" t="str">
        <f>image("https://pokejungle.net/sprites/shiny/"&amp;N36&amp;".png")</f>
        <v/>
      </c>
      <c r="P40" s="16" t="str">
        <f>image("https://i.imgur.com/XI18XGu.png")</f>
        <v/>
      </c>
      <c r="Q40" s="20" t="str">
        <f>image("https://pokejungle.net/sprites/shiny/"&amp;P36&amp;".png")</f>
        <v/>
      </c>
      <c r="R40" s="33"/>
    </row>
    <row r="41" ht="26.25" customHeight="1">
      <c r="A41" s="15"/>
      <c r="B41" s="38" t="str">
        <f>image("https://i.imgur.com/rJhTvoD.png")</f>
        <v/>
      </c>
      <c r="C41" s="36"/>
      <c r="D41" s="46" t="str">
        <f>image("https://i.imgur.com/0ArMZjJ.png")</f>
        <v/>
      </c>
      <c r="E41" s="36"/>
      <c r="F41" s="35" t="str">
        <f>image("https://i.imgur.com/0ArMZjJ.png")</f>
        <v/>
      </c>
      <c r="G41" s="36"/>
      <c r="H41" s="46" t="str">
        <f>image("https://i.imgur.com/EkqYYOB.png")</f>
        <v/>
      </c>
      <c r="I41" s="36"/>
      <c r="J41" s="38" t="str">
        <f>image("https://i.imgur.com/EkqYYOB.png")</f>
        <v/>
      </c>
      <c r="K41" s="36"/>
      <c r="L41" s="38" t="str">
        <f>image("https://i.imgur.com/rAI9Gyi.png")</f>
        <v/>
      </c>
      <c r="M41" s="36"/>
      <c r="N41" s="38" t="str">
        <f>image("https://i.imgur.com/rAI9Gyi.png")</f>
        <v/>
      </c>
      <c r="O41" s="36"/>
      <c r="P41" s="38" t="str">
        <f>image("https://i.imgur.com/rAI9Gyi.png")</f>
        <v/>
      </c>
      <c r="Q41" s="36"/>
      <c r="R41" s="33"/>
    </row>
    <row r="42" ht="26.25" customHeight="1">
      <c r="A42" s="15"/>
      <c r="B42" s="40"/>
      <c r="C42" s="41"/>
      <c r="D42" s="43"/>
      <c r="E42" s="41"/>
      <c r="F42" s="40" t="str">
        <f>image("https://i.imgur.com/a9HBljD.png")</f>
        <v/>
      </c>
      <c r="G42" s="41"/>
      <c r="H42" s="43"/>
      <c r="I42" s="41"/>
      <c r="J42" s="40"/>
      <c r="K42" s="41"/>
      <c r="L42" s="43"/>
      <c r="M42" s="41"/>
      <c r="N42" s="40"/>
      <c r="O42" s="41"/>
      <c r="P42" s="40"/>
      <c r="Q42" s="41"/>
      <c r="R42" s="33"/>
    </row>
    <row r="43" ht="18.75" customHeight="1">
      <c r="A43" s="6"/>
      <c r="B43" s="8" t="s">
        <v>1575</v>
      </c>
      <c r="C43" s="10" t="s">
        <v>1577</v>
      </c>
      <c r="D43" s="8" t="s">
        <v>1578</v>
      </c>
      <c r="E43" s="10" t="s">
        <v>1579</v>
      </c>
      <c r="F43" s="8" t="s">
        <v>1580</v>
      </c>
      <c r="G43" s="10" t="s">
        <v>1582</v>
      </c>
      <c r="H43" s="8" t="s">
        <v>1583</v>
      </c>
      <c r="I43" s="10" t="s">
        <v>1585</v>
      </c>
      <c r="J43" s="8" t="s">
        <v>1586</v>
      </c>
      <c r="K43" s="10" t="s">
        <v>1588</v>
      </c>
      <c r="L43" s="8" t="s">
        <v>1590</v>
      </c>
      <c r="M43" s="10" t="s">
        <v>1591</v>
      </c>
      <c r="N43" s="8" t="s">
        <v>1593</v>
      </c>
      <c r="O43" s="10" t="s">
        <v>1594</v>
      </c>
      <c r="P43" s="8" t="s">
        <v>1596</v>
      </c>
      <c r="Q43" s="10" t="s">
        <v>1597</v>
      </c>
      <c r="R43" s="14"/>
    </row>
    <row r="44" ht="26.25" customHeight="1">
      <c r="A44" s="15"/>
      <c r="B44" s="16" t="str">
        <f>image("https://i.imgur.com/rAI9Gyi.png")</f>
        <v/>
      </c>
      <c r="C44" s="20" t="str">
        <f>image("https://pokejungle.net/sprites/normal/"&amp;B43&amp;".png")</f>
        <v/>
      </c>
      <c r="D44" s="16" t="str">
        <f>image("https://i.imgur.com/0ArMZjJ.png")</f>
        <v/>
      </c>
      <c r="E44" s="20" t="str">
        <f>image("https://pokejungle.net/sprites/normal/"&amp;D43&amp;".png")</f>
        <v/>
      </c>
      <c r="F44" s="16" t="str">
        <f>image("https://i.imgur.com/JOd7Boe.png")</f>
        <v/>
      </c>
      <c r="G44" s="20" t="str">
        <f>image("https://pokejungle.net/sprites/normal/"&amp;F43&amp;".png")</f>
        <v/>
      </c>
      <c r="H44" s="24" t="str">
        <f>image("https://i.imgur.com/XNzvO0H.png")</f>
        <v/>
      </c>
      <c r="I44" s="20" t="str">
        <f>image("https://pokejungle.net/sprites/normal/"&amp;H43&amp;".png")</f>
        <v/>
      </c>
      <c r="J44" s="16" t="str">
        <f>image("https://i.imgur.com/XNzvO0H.png")</f>
        <v/>
      </c>
      <c r="K44" s="20" t="str">
        <f>image("https://pokejungle.net/sprites/normal/"&amp;J43&amp;".png")</f>
        <v/>
      </c>
      <c r="L44" s="28" t="str">
        <f>image("https://i.imgur.com/bxys1sd.png")</f>
        <v/>
      </c>
      <c r="M44" s="20" t="str">
        <f>image("https://pokejungle.net/sprites/normal/"&amp;L43&amp;".png")</f>
        <v/>
      </c>
      <c r="N44" s="16" t="str">
        <f>image("https://i.imgur.com/bxys1sd.png")</f>
        <v/>
      </c>
      <c r="O44" s="20" t="str">
        <f>image("https://pokejungle.net/sprites/normal/"&amp;N43&amp;".png")</f>
        <v/>
      </c>
      <c r="P44" s="16" t="str">
        <f>image("https://i.imgur.com/JOd7Boe.png")</f>
        <v/>
      </c>
      <c r="Q44" s="20" t="str">
        <f>image("https://pokejungle.net/sprites/normal/"&amp;P43&amp;".png")</f>
        <v/>
      </c>
      <c r="R44" s="33"/>
    </row>
    <row r="45" ht="26.25" customHeight="1">
      <c r="A45" s="15"/>
      <c r="B45" s="38" t="str">
        <f>image("https://i.imgur.com/RqSOGo6.png")</f>
        <v/>
      </c>
      <c r="C45" s="36"/>
      <c r="D45" s="35" t="str">
        <f>image("https://i.imgur.com/rAI9Gyi.png")</f>
        <v/>
      </c>
      <c r="E45" s="36"/>
      <c r="F45" s="35" t="str">
        <f>image("https://i.imgur.com/XIu6jDl.png")</f>
        <v/>
      </c>
      <c r="G45" s="36"/>
      <c r="H45" s="37" t="str">
        <f>image("https://i.imgur.com/rAI9Gyi.png")</f>
        <v/>
      </c>
      <c r="I45" s="36"/>
      <c r="J45" s="38" t="str">
        <f>image("https://i.imgur.com/rAI9Gyi.png")</f>
        <v/>
      </c>
      <c r="K45" s="36"/>
      <c r="L45" s="35" t="str">
        <f>image("https://i.imgur.com/EkqYYOB.png")</f>
        <v/>
      </c>
      <c r="M45" s="36"/>
      <c r="N45" s="38" t="str">
        <f>image("https://i.imgur.com/EkqYYOB.png")</f>
        <v/>
      </c>
      <c r="O45" s="36"/>
      <c r="P45" s="38" t="str">
        <f>image("https://i.imgur.com/EkqYYOB.png")</f>
        <v/>
      </c>
      <c r="Q45" s="36"/>
      <c r="R45" s="33"/>
    </row>
    <row r="46" ht="26.25" customHeight="1">
      <c r="A46" s="15"/>
      <c r="B46" s="40" t="str">
        <f>image("https://i.imgur.com/rJhTvoD.png")</f>
        <v/>
      </c>
      <c r="C46" s="41"/>
      <c r="D46" s="40"/>
      <c r="E46" s="41"/>
      <c r="F46" s="40" t="str">
        <f>image("https://i.imgur.com/beHgI95.png")</f>
        <v/>
      </c>
      <c r="G46" s="41"/>
      <c r="H46" s="40" t="str">
        <f>image("https://i.imgur.com/XzidFHI.png")</f>
        <v/>
      </c>
      <c r="I46" s="41"/>
      <c r="J46" s="40" t="str">
        <f>image("https://i.imgur.com/XzidFHI.png")</f>
        <v/>
      </c>
      <c r="K46" s="41"/>
      <c r="L46" s="43"/>
      <c r="M46" s="41"/>
      <c r="N46" s="40" t="str">
        <f t="shared" ref="N46:N47" si="2">image("https://i.imgur.com/beHgI95.png")</f>
        <v/>
      </c>
      <c r="O46" s="41"/>
      <c r="P46" s="40" t="str">
        <f>image("https://i.imgur.com/a9HBljD.png")</f>
        <v/>
      </c>
      <c r="Q46" s="41"/>
      <c r="R46" s="33"/>
    </row>
    <row r="47" ht="26.25" customHeight="1">
      <c r="A47" s="15"/>
      <c r="B47" s="16" t="str">
        <f>image("https://i.imgur.com/rAI9Gyi.png")</f>
        <v/>
      </c>
      <c r="C47" s="20" t="str">
        <f>image("https://pokejungle.net/sprites/shiny/"&amp;B43&amp;".png")</f>
        <v/>
      </c>
      <c r="D47" s="16" t="str">
        <f>image("https://i.imgur.com/XI18XGu.png")</f>
        <v/>
      </c>
      <c r="E47" s="20" t="str">
        <f>image("https://pokejungle.net/sprites/shiny/"&amp;D43&amp;".png")</f>
        <v/>
      </c>
      <c r="F47" s="16" t="str">
        <f>image("https://i.imgur.com/XzidFHI.png")</f>
        <v/>
      </c>
      <c r="G47" s="20" t="str">
        <f>image("https://pokejungle.net/sprites/shiny/"&amp;F43&amp;".png")</f>
        <v/>
      </c>
      <c r="H47" s="16" t="str">
        <f>image("https://i.imgur.com/0ArMZjJ.png")</f>
        <v/>
      </c>
      <c r="I47" s="20" t="str">
        <f>image("https://pokejungle.net/sprites/shiny/"&amp;H43&amp;".png")</f>
        <v/>
      </c>
      <c r="J47" s="16" t="str">
        <f>image("https://i.imgur.com/0ArMZjJ.png")</f>
        <v/>
      </c>
      <c r="K47" s="20" t="str">
        <f>image("https://pokejungle.net/sprites/shiny/"&amp;J43&amp;".png")</f>
        <v/>
      </c>
      <c r="L47" s="16" t="str">
        <f>image("https://i.imgur.com/beHgI95.png")</f>
        <v/>
      </c>
      <c r="M47" s="20" t="str">
        <f>image("https://pokejungle.net/sprites/shiny/"&amp;L43&amp;".png")</f>
        <v/>
      </c>
      <c r="N47" s="16" t="str">
        <f t="shared" si="2"/>
        <v/>
      </c>
      <c r="O47" s="20" t="str">
        <f>image("https://pokejungle.net/sprites/shiny/"&amp;N43&amp;".png")</f>
        <v/>
      </c>
      <c r="P47" s="16" t="str">
        <f>image("https://i.imgur.com/XIu6jDl.png")</f>
        <v/>
      </c>
      <c r="Q47" s="20" t="str">
        <f>image("https://pokejungle.net/sprites/shiny/"&amp;P43&amp;".png")</f>
        <v/>
      </c>
      <c r="R47" s="33"/>
    </row>
    <row r="48" ht="26.25" customHeight="1">
      <c r="A48" s="15"/>
      <c r="B48" s="35" t="str">
        <f>image("https://i.imgur.com/ef1o2lD.png")</f>
        <v/>
      </c>
      <c r="C48" s="36"/>
      <c r="D48" s="46" t="str">
        <f>image("https://i.imgur.com/a9HBljD.png")</f>
        <v/>
      </c>
      <c r="E48" s="36"/>
      <c r="F48" s="35" t="str">
        <f>image("https://i.imgur.com/beHgI95.png")</f>
        <v/>
      </c>
      <c r="G48" s="36"/>
      <c r="H48" s="46" t="str">
        <f>image("https://i.imgur.com/bxys1sd.png")</f>
        <v/>
      </c>
      <c r="I48" s="36"/>
      <c r="J48" s="38" t="str">
        <f>image("https://i.imgur.com/SF5CZ6U.png")</f>
        <v/>
      </c>
      <c r="K48" s="36"/>
      <c r="L48" s="46" t="str">
        <f>image("https://i.imgur.com/EkqYYOB.png")</f>
        <v/>
      </c>
      <c r="M48" s="36"/>
      <c r="N48" s="38" t="str">
        <f>image("https://i.imgur.com/EkqYYOB.png")</f>
        <v/>
      </c>
      <c r="O48" s="36"/>
      <c r="P48" s="38" t="str">
        <f>image("https://i.imgur.com/VQL4lPa.png")</f>
        <v/>
      </c>
      <c r="Q48" s="36"/>
      <c r="R48" s="33"/>
    </row>
    <row r="49" ht="26.25" customHeight="1">
      <c r="A49" s="15"/>
      <c r="B49" s="40" t="str">
        <f>image("https://i.imgur.com/zpybKax.png")</f>
        <v/>
      </c>
      <c r="C49" s="41"/>
      <c r="D49" s="43" t="str">
        <f>image("https://i.imgur.com/rAI9Gyi.png")</f>
        <v/>
      </c>
      <c r="E49" s="41"/>
      <c r="F49" s="40" t="str">
        <f>image("https://i.imgur.com/JDgAgAO.png")</f>
        <v/>
      </c>
      <c r="G49" s="41"/>
      <c r="H49" s="43" t="str">
        <f>image("https://i.imgur.com/XNzvO0H.png")</f>
        <v/>
      </c>
      <c r="I49" s="41"/>
      <c r="J49" s="40" t="str">
        <f>image("https://i.imgur.com/XNzvO0H.png")</f>
        <v/>
      </c>
      <c r="K49" s="41"/>
      <c r="L49" s="43" t="str">
        <f>image("https://i.imgur.com/N2Wqr43.png")</f>
        <v/>
      </c>
      <c r="M49" s="41"/>
      <c r="N49" s="40" t="str">
        <f>image("https://i.imgur.com/N2Wqr43.png")</f>
        <v/>
      </c>
      <c r="O49" s="41"/>
      <c r="P49" s="40"/>
      <c r="Q49" s="41"/>
      <c r="R49" s="33"/>
    </row>
    <row r="50" ht="18.75" customHeight="1">
      <c r="A50" s="6"/>
      <c r="B50" s="8" t="s">
        <v>1629</v>
      </c>
      <c r="C50" s="10" t="s">
        <v>1630</v>
      </c>
      <c r="D50" s="8" t="s">
        <v>1631</v>
      </c>
      <c r="E50" s="10" t="s">
        <v>1632</v>
      </c>
      <c r="F50" s="8" t="s">
        <v>1633</v>
      </c>
      <c r="G50" s="10" t="s">
        <v>1634</v>
      </c>
      <c r="H50" s="8" t="s">
        <v>1633</v>
      </c>
      <c r="I50" s="10" t="s">
        <v>1635</v>
      </c>
      <c r="J50" s="8" t="s">
        <v>1633</v>
      </c>
      <c r="K50" s="10" t="s">
        <v>1636</v>
      </c>
      <c r="L50" s="8" t="s">
        <v>1633</v>
      </c>
      <c r="M50" s="10" t="s">
        <v>1637</v>
      </c>
      <c r="N50" s="8" t="s">
        <v>1633</v>
      </c>
      <c r="O50" s="10" t="s">
        <v>1638</v>
      </c>
      <c r="P50" s="8" t="s">
        <v>1633</v>
      </c>
      <c r="Q50" s="10" t="s">
        <v>1639</v>
      </c>
      <c r="R50" s="14"/>
    </row>
    <row r="51" ht="26.25" customHeight="1">
      <c r="A51" s="15"/>
      <c r="B51" s="16" t="str">
        <f>image("https://i.imgur.com/bxys1sd.png")</f>
        <v/>
      </c>
      <c r="C51" s="20" t="str">
        <f>image("https://pokejungle.net/sprites/normal/"&amp;B50&amp;".png")</f>
        <v/>
      </c>
      <c r="D51" s="16" t="str">
        <f>image("https://i.imgur.com/bxys1sd.png")</f>
        <v/>
      </c>
      <c r="E51" s="20" t="str">
        <f>image("https://pokejungle.net/sprites/normal/"&amp;D50&amp;".png")</f>
        <v/>
      </c>
      <c r="F51" s="16" t="str">
        <f>image("https://i.imgur.com/bxys1sd.png")</f>
        <v/>
      </c>
      <c r="G51" s="20" t="str">
        <f>image("https://pokejungle.net/sprites/normal/"&amp;F50&amp;".png")</f>
        <v/>
      </c>
      <c r="H51" s="24" t="str">
        <f>image("https://i.imgur.com/RqSOGo6.png")</f>
        <v/>
      </c>
      <c r="I51" s="20" t="str">
        <f>image("https://pokejungle.net/sprites/normal/"&amp;H50&amp;"-1.png")</f>
        <v/>
      </c>
      <c r="J51" s="16" t="str">
        <f>image("https://i.imgur.com/beHgI95.png")</f>
        <v/>
      </c>
      <c r="K51" s="20" t="str">
        <f>image("https://pokejungle.net/sprites/normal/"&amp;J50&amp;"-2.png")</f>
        <v/>
      </c>
      <c r="L51" s="28" t="str">
        <f>image("https://i.imgur.com/XIu6jDl.png")</f>
        <v/>
      </c>
      <c r="M51" s="20" t="str">
        <f>image("https://pokejungle.net/sprites/normal/"&amp;L50&amp;"-3.png")</f>
        <v/>
      </c>
      <c r="N51" s="16" t="str">
        <f>image("https://i.imgur.com/XNzvO0H.png")</f>
        <v/>
      </c>
      <c r="O51" s="20" t="str">
        <f>image("https://pokejungle.net/sprites/normal/"&amp;N50&amp;"-4.png")</f>
        <v/>
      </c>
      <c r="P51" s="16" t="str">
        <f>image("https://i.imgur.com/SF5CZ6U.png")</f>
        <v/>
      </c>
      <c r="Q51" s="20" t="str">
        <f>image("https://pokejungle.net/sprites/normal/"&amp;P50&amp;"-5.png")</f>
        <v/>
      </c>
      <c r="R51" s="33"/>
    </row>
    <row r="52" ht="26.25" customHeight="1">
      <c r="A52" s="15"/>
      <c r="B52" s="38"/>
      <c r="C52" s="36"/>
      <c r="D52" s="35"/>
      <c r="E52" s="36"/>
      <c r="F52" s="35" t="str">
        <f>image("https://i.imgur.com/GyNf8BH.png")</f>
        <v/>
      </c>
      <c r="G52" s="36"/>
      <c r="H52" s="37" t="str">
        <f>image("https://i.imgur.com/lKAfx6k.png")</f>
        <v/>
      </c>
      <c r="I52" s="36"/>
      <c r="J52" s="38" t="str">
        <f>image("https://i.imgur.com/rJhTvoD.png")</f>
        <v/>
      </c>
      <c r="K52" s="36"/>
      <c r="L52" s="35" t="str">
        <f>image("https://i.imgur.com/VQL4lPa.png")</f>
        <v/>
      </c>
      <c r="M52" s="36"/>
      <c r="N52" s="38" t="str">
        <f>image("https://i.imgur.com/IIajvuS.png")</f>
        <v/>
      </c>
      <c r="O52" s="36"/>
      <c r="P52" s="38" t="str">
        <f>image("https://i.imgur.com/ef1o2lD.png")</f>
        <v/>
      </c>
      <c r="Q52" s="36"/>
      <c r="R52" s="33"/>
    </row>
    <row r="53" ht="26.25" customHeight="1">
      <c r="A53" s="15"/>
      <c r="B53" s="40"/>
      <c r="C53" s="41"/>
      <c r="D53" s="40"/>
      <c r="E53" s="41"/>
      <c r="F53" s="40"/>
      <c r="G53" s="41"/>
      <c r="H53" s="40"/>
      <c r="I53" s="41"/>
      <c r="J53" s="40"/>
      <c r="K53" s="41"/>
      <c r="L53" s="43"/>
      <c r="M53" s="41"/>
      <c r="N53" s="40"/>
      <c r="O53" s="41"/>
      <c r="P53" s="40"/>
      <c r="Q53" s="41"/>
      <c r="R53" s="33"/>
    </row>
    <row r="54" ht="26.25" customHeight="1">
      <c r="A54" s="15"/>
      <c r="B54" s="16" t="str">
        <f>image("https://i.imgur.com/bxys1sd.png")</f>
        <v/>
      </c>
      <c r="C54" s="20" t="str">
        <f>image("https://pokejungle.net/sprites/shiny/"&amp;B50&amp;".png")</f>
        <v/>
      </c>
      <c r="D54" s="16" t="str">
        <f>image("https://i.imgur.com/bxys1sd.png")</f>
        <v/>
      </c>
      <c r="E54" s="20" t="str">
        <f>image("https://pokejungle.net/sprites/shiny/"&amp;D50&amp;".png")</f>
        <v/>
      </c>
      <c r="F54" s="16" t="str">
        <f>image("https://i.imgur.com/EkqYYOB.png")</f>
        <v/>
      </c>
      <c r="G54" s="20" t="str">
        <f>image("https://pokejungle.net/sprites/shiny/"&amp;F50&amp;".png")</f>
        <v/>
      </c>
      <c r="H54" s="16" t="str">
        <f>image("https://i.imgur.com/EkqYYOB.png")</f>
        <v/>
      </c>
      <c r="I54" s="20" t="str">
        <f>image("https://pokejungle.net/sprites/shiny/"&amp;H50&amp;".png")</f>
        <v/>
      </c>
      <c r="J54" s="16" t="str">
        <f>image("https://i.imgur.com/EkqYYOB.png")</f>
        <v/>
      </c>
      <c r="K54" s="20" t="str">
        <f>image("https://pokejungle.net/sprites/shiny/"&amp;J50&amp;".png")</f>
        <v/>
      </c>
      <c r="L54" s="16" t="str">
        <f>image("https://i.imgur.com/EkqYYOB.png")</f>
        <v/>
      </c>
      <c r="M54" s="20" t="str">
        <f>image("https://pokejungle.net/sprites/shiny/"&amp;L50&amp;".png")</f>
        <v/>
      </c>
      <c r="N54" s="16" t="str">
        <f>image("https://i.imgur.com/EkqYYOB.png")</f>
        <v/>
      </c>
      <c r="O54" s="20" t="str">
        <f>image("https://pokejungle.net/sprites/shiny/"&amp;N50&amp;".png")</f>
        <v/>
      </c>
      <c r="P54" s="16" t="str">
        <f>image("https://i.imgur.com/EkqYYOB.png")</f>
        <v/>
      </c>
      <c r="Q54" s="20" t="str">
        <f>image("https://pokejungle.net/sprites/shiny/"&amp;P50&amp;".png")</f>
        <v/>
      </c>
      <c r="R54" s="33"/>
    </row>
    <row r="55" ht="26.25" customHeight="1">
      <c r="A55" s="15"/>
      <c r="B55" s="38"/>
      <c r="C55" s="36"/>
      <c r="D55" s="46" t="str">
        <f>image("https://i.imgur.com/aeqHLEh.png")</f>
        <v/>
      </c>
      <c r="E55" s="36"/>
      <c r="F55" s="35"/>
      <c r="G55" s="36"/>
      <c r="H55" s="46"/>
      <c r="I55" s="36"/>
      <c r="J55" s="38"/>
      <c r="K55" s="36"/>
      <c r="L55" s="46"/>
      <c r="M55" s="36"/>
      <c r="N55" s="38"/>
      <c r="O55" s="36"/>
      <c r="P55" s="38"/>
      <c r="Q55" s="36"/>
      <c r="R55" s="33"/>
    </row>
    <row r="56" ht="26.25" customHeight="1">
      <c r="A56" s="15"/>
      <c r="B56" s="40"/>
      <c r="C56" s="41"/>
      <c r="D56" s="43"/>
      <c r="E56" s="41"/>
      <c r="F56" s="40"/>
      <c r="G56" s="41"/>
      <c r="H56" s="43"/>
      <c r="I56" s="41"/>
      <c r="J56" s="40"/>
      <c r="K56" s="41"/>
      <c r="L56" s="43"/>
      <c r="M56" s="41"/>
      <c r="N56" s="40"/>
      <c r="O56" s="41"/>
      <c r="P56" s="40"/>
      <c r="Q56" s="41"/>
      <c r="R56" s="33"/>
    </row>
    <row r="57" ht="18.75" customHeight="1">
      <c r="A57" s="6"/>
      <c r="B57" s="8" t="s">
        <v>1633</v>
      </c>
      <c r="C57" s="10" t="s">
        <v>1671</v>
      </c>
      <c r="D57" s="8" t="s">
        <v>1672</v>
      </c>
      <c r="E57" s="10" t="s">
        <v>1673</v>
      </c>
      <c r="F57" s="8" t="s">
        <v>1674</v>
      </c>
      <c r="G57" s="10" t="s">
        <v>1675</v>
      </c>
      <c r="H57" s="8" t="s">
        <v>1676</v>
      </c>
      <c r="I57" s="10" t="s">
        <v>1677</v>
      </c>
      <c r="J57" s="8" t="s">
        <v>1678</v>
      </c>
      <c r="K57" s="10" t="s">
        <v>1679</v>
      </c>
      <c r="L57" s="8" t="s">
        <v>1680</v>
      </c>
      <c r="M57" s="10" t="s">
        <v>1681</v>
      </c>
      <c r="N57" s="8" t="s">
        <v>1682</v>
      </c>
      <c r="O57" s="10" t="s">
        <v>1683</v>
      </c>
      <c r="P57" s="8" t="s">
        <v>1684</v>
      </c>
      <c r="Q57" s="10" t="s">
        <v>1686</v>
      </c>
      <c r="R57" s="14"/>
    </row>
    <row r="58" ht="26.25" customHeight="1">
      <c r="A58" s="15"/>
      <c r="B58" s="16" t="str">
        <f>image("https://i.imgur.com/XI18XGu.png")</f>
        <v/>
      </c>
      <c r="C58" s="20" t="str">
        <f>image("https://pokejungle.net/sprites/normal/"&amp;B57&amp;"-6.png")</f>
        <v/>
      </c>
      <c r="D58" s="16" t="str">
        <f>image("https://i.imgur.com/XNzvO0H.png")</f>
        <v/>
      </c>
      <c r="E58" s="20" t="str">
        <f>image("https://pokejungle.net/sprites/normal/"&amp;D57&amp;".png")</f>
        <v/>
      </c>
      <c r="F58" s="16" t="str">
        <f>image("https://i.imgur.com/RqSOGo6.png")</f>
        <v/>
      </c>
      <c r="G58" s="20" t="str">
        <f>image("https://pokejungle.net/sprites/normal/"&amp;F57&amp;".png")</f>
        <v/>
      </c>
      <c r="H58" s="24" t="str">
        <f>image("https://i.imgur.com/beHgI95.png")</f>
        <v/>
      </c>
      <c r="I58" s="20" t="str">
        <f>image("https://pokejungle.net/sprites/normal/"&amp;H57&amp;".png")</f>
        <v/>
      </c>
      <c r="J58" s="16" t="str">
        <f>image("https://i.imgur.com/beHgI95.png")</f>
        <v/>
      </c>
      <c r="K58" s="20" t="str">
        <f>image("https://pokejungle.net/sprites/normal/"&amp;J57&amp;".png")</f>
        <v/>
      </c>
      <c r="L58" s="28" t="str">
        <f>image("https://i.imgur.com/rAI9Gyi.png")</f>
        <v/>
      </c>
      <c r="M58" s="20" t="str">
        <f>image("https://pokejungle.net/sprites/normal/"&amp;L57&amp;".png")</f>
        <v/>
      </c>
      <c r="N58" s="16" t="str">
        <f>image("https://i.imgur.com/XIu6jDl.png")</f>
        <v/>
      </c>
      <c r="O58" s="20" t="str">
        <f>image("https://pokejungle.net/sprites/normal/"&amp;N57&amp;".png")</f>
        <v/>
      </c>
      <c r="P58" s="16" t="str">
        <f>image("https://i.imgur.com/XzidFHI.png")</f>
        <v/>
      </c>
      <c r="Q58" s="20" t="str">
        <f>image("https://pokejungle.net/sprites/normal/"&amp;P57&amp;".png")</f>
        <v/>
      </c>
      <c r="R58" s="33"/>
    </row>
    <row r="59" ht="26.25" customHeight="1">
      <c r="A59" s="15"/>
      <c r="B59" s="38" t="str">
        <f>image("https://i.imgur.com/nNTmuH8.png")</f>
        <v/>
      </c>
      <c r="C59" s="36"/>
      <c r="D59" s="35" t="str">
        <f>image("https://i.imgur.com/JDgAgAO.png")</f>
        <v/>
      </c>
      <c r="E59" s="36"/>
      <c r="F59" s="35" t="str">
        <f>image("https://i.imgur.com/rJhTvoD.png")</f>
        <v/>
      </c>
      <c r="G59" s="36"/>
      <c r="H59" s="37" t="str">
        <f>image("https://i.imgur.com/0ArMZjJ.png")</f>
        <v/>
      </c>
      <c r="I59" s="36"/>
      <c r="J59" s="38" t="str">
        <f>image("https://i.imgur.com/a9HBljD.png")</f>
        <v/>
      </c>
      <c r="K59" s="36"/>
      <c r="L59" s="35"/>
      <c r="M59" s="36"/>
      <c r="N59" s="38" t="str">
        <f>image("https://i.imgur.com/0ArMZjJ.png")</f>
        <v/>
      </c>
      <c r="O59" s="36"/>
      <c r="P59" s="38" t="str">
        <f>image("https://i.imgur.com/beHgI95.png")</f>
        <v/>
      </c>
      <c r="Q59" s="36"/>
      <c r="R59" s="33"/>
    </row>
    <row r="60" ht="26.25" customHeight="1">
      <c r="A60" s="15"/>
      <c r="B60" s="40" t="str">
        <f>image("https://i.imgur.com/rAI9Gyi.png")</f>
        <v/>
      </c>
      <c r="C60" s="41"/>
      <c r="D60" s="40"/>
      <c r="E60" s="41"/>
      <c r="F60" s="40" t="str">
        <f t="shared" ref="F60:F61" si="3">image("https://i.imgur.com/beHgI95.png")</f>
        <v/>
      </c>
      <c r="G60" s="41"/>
      <c r="H60" s="40"/>
      <c r="I60" s="41"/>
      <c r="J60" s="40"/>
      <c r="K60" s="41"/>
      <c r="L60" s="43"/>
      <c r="M60" s="41"/>
      <c r="N60" s="40" t="str">
        <f>image("https://i.imgur.com/VQL4lPa.png")</f>
        <v/>
      </c>
      <c r="O60" s="41"/>
      <c r="P60" s="40" t="str">
        <f>image("https://i.imgur.com/VQL4lPa.png")</f>
        <v/>
      </c>
      <c r="Q60" s="41"/>
      <c r="R60" s="33"/>
    </row>
    <row r="61" ht="26.25" customHeight="1">
      <c r="A61" s="15"/>
      <c r="B61" s="16" t="str">
        <f>image("https://i.imgur.com/EkqYYOB.png")</f>
        <v/>
      </c>
      <c r="C61" s="20" t="str">
        <f>image("https://pokejungle.net/sprites/shiny/"&amp;B57&amp;".png")</f>
        <v/>
      </c>
      <c r="D61" s="16" t="str">
        <f>image("https://i.imgur.com/a9HBljD.png")</f>
        <v/>
      </c>
      <c r="E61" s="20" t="str">
        <f>image("https://pokejungle.net/sprites/shiny/"&amp;D57&amp;".png")</f>
        <v/>
      </c>
      <c r="F61" s="16" t="str">
        <f t="shared" si="3"/>
        <v/>
      </c>
      <c r="G61" s="20" t="str">
        <f>image("https://pokejungle.net/sprites/shiny/"&amp;F57&amp;".png")</f>
        <v/>
      </c>
      <c r="H61" s="16" t="str">
        <f>image("https://i.imgur.com/0ArMZjJ.png")</f>
        <v/>
      </c>
      <c r="I61" s="20" t="str">
        <f>image("https://pokejungle.net/sprites/shiny/"&amp;H57&amp;".png")</f>
        <v/>
      </c>
      <c r="J61" s="16" t="str">
        <f>image("https://i.imgur.com/JOd7Boe.png")</f>
        <v/>
      </c>
      <c r="K61" s="20" t="str">
        <f>image("https://pokejungle.net/sprites/shiny/"&amp;J57&amp;".png")</f>
        <v/>
      </c>
      <c r="L61" s="16" t="str">
        <f>image("https://i.imgur.com/VQL4lPa.png")</f>
        <v/>
      </c>
      <c r="M61" s="20" t="str">
        <f>image("https://pokejungle.net/sprites/shiny/"&amp;L57&amp;".png")</f>
        <v/>
      </c>
      <c r="N61" s="16" t="str">
        <f>image("https://i.imgur.com/beHgI95.png")</f>
        <v/>
      </c>
      <c r="O61" s="20" t="str">
        <f>image("https://pokejungle.net/sprites/shiny/"&amp;N57&amp;".png")</f>
        <v/>
      </c>
      <c r="P61" s="16" t="str">
        <f>image("https://i.imgur.com/rJhTvoD.png")</f>
        <v/>
      </c>
      <c r="Q61" s="20" t="str">
        <f>image("https://pokejungle.net/sprites/shiny/"&amp;P57&amp;".png")</f>
        <v/>
      </c>
      <c r="R61" s="33"/>
    </row>
    <row r="62" ht="26.25" customHeight="1">
      <c r="A62" s="15"/>
      <c r="B62" s="38"/>
      <c r="C62" s="36"/>
      <c r="D62" s="46" t="str">
        <f>image("https://i.imgur.com/XNzvO0H.png")</f>
        <v/>
      </c>
      <c r="E62" s="36"/>
      <c r="F62" s="35" t="str">
        <f>image("https://i.imgur.com/EkqYYOB.png")</f>
        <v/>
      </c>
      <c r="G62" s="36"/>
      <c r="H62" s="46" t="str">
        <f>image("https://i.imgur.com/beHgI95.png")</f>
        <v/>
      </c>
      <c r="I62" s="36"/>
      <c r="J62" s="38" t="str">
        <f>image("https://i.imgur.com/a9HBljD.png")</f>
        <v/>
      </c>
      <c r="K62" s="36"/>
      <c r="L62" s="46" t="str">
        <f>image("https://i.imgur.com/RqSOGo6.png")</f>
        <v/>
      </c>
      <c r="M62" s="36"/>
      <c r="N62" s="38"/>
      <c r="O62" s="36"/>
      <c r="P62" s="38" t="str">
        <f>image("https://i.imgur.com/bxys1sd.png")</f>
        <v/>
      </c>
      <c r="Q62" s="36"/>
      <c r="R62" s="33"/>
    </row>
    <row r="63" ht="26.25" customHeight="1">
      <c r="A63" s="15"/>
      <c r="B63" s="40"/>
      <c r="C63" s="41"/>
      <c r="D63" s="43" t="str">
        <f>image("https://i.imgur.com/JDgAgAO.png")</f>
        <v/>
      </c>
      <c r="E63" s="41"/>
      <c r="F63" s="40"/>
      <c r="G63" s="41"/>
      <c r="H63" s="43"/>
      <c r="I63" s="41"/>
      <c r="J63" s="43" t="str">
        <f>image("https://i.imgur.com/0ArMZjJ.png")</f>
        <v/>
      </c>
      <c r="K63" s="41"/>
      <c r="L63" s="43"/>
      <c r="M63" s="41"/>
      <c r="N63" s="40"/>
      <c r="O63" s="41"/>
      <c r="P63" s="40" t="str">
        <f>image("https://i.imgur.com/GyNf8BH.png")</f>
        <v/>
      </c>
      <c r="Q63" s="41"/>
      <c r="R63" s="33"/>
    </row>
    <row r="64" ht="18.75" customHeight="1">
      <c r="A64" s="6"/>
      <c r="B64" s="8" t="s">
        <v>1715</v>
      </c>
      <c r="C64" s="10" t="s">
        <v>1716</v>
      </c>
      <c r="D64" s="8" t="s">
        <v>1717</v>
      </c>
      <c r="E64" s="10" t="s">
        <v>1718</v>
      </c>
      <c r="F64" s="8" t="s">
        <v>1719</v>
      </c>
      <c r="G64" s="10" t="s">
        <v>1720</v>
      </c>
      <c r="H64" s="8" t="s">
        <v>1721</v>
      </c>
      <c r="I64" s="10" t="s">
        <v>1722</v>
      </c>
      <c r="J64" s="8" t="s">
        <v>1723</v>
      </c>
      <c r="K64" s="10" t="s">
        <v>1724</v>
      </c>
      <c r="L64" s="8" t="s">
        <v>1725</v>
      </c>
      <c r="M64" s="10" t="s">
        <v>1726</v>
      </c>
      <c r="N64" s="8" t="s">
        <v>1727</v>
      </c>
      <c r="O64" s="10" t="s">
        <v>1728</v>
      </c>
      <c r="P64" s="8" t="s">
        <v>1729</v>
      </c>
      <c r="Q64" s="10" t="s">
        <v>1730</v>
      </c>
      <c r="R64" s="14"/>
    </row>
    <row r="65" ht="26.25" customHeight="1">
      <c r="A65" s="15"/>
      <c r="B65" s="16" t="str">
        <f>image("https://i.imgur.com/EkqYYOB.png")</f>
        <v/>
      </c>
      <c r="C65" s="20" t="str">
        <f>image("https://pokejungle.net/sprites/normal/"&amp;B64&amp;".png")</f>
        <v/>
      </c>
      <c r="D65" s="16" t="str">
        <f>image("https://i.imgur.com/EkqYYOB.png")</f>
        <v/>
      </c>
      <c r="E65" s="20" t="str">
        <f>image("https://pokejungle.net/sprites/normal/"&amp;D64&amp;".png")</f>
        <v/>
      </c>
      <c r="F65" s="16" t="str">
        <f>image("https://i.imgur.com/EkqYYOB.png")</f>
        <v/>
      </c>
      <c r="G65" s="20" t="str">
        <f>image("https://pokejungle.net/sprites/normal/"&amp;F64&amp;".png")</f>
        <v/>
      </c>
      <c r="H65" s="24" t="str">
        <f>image("https://i.imgur.com/RqSOGo6.png")</f>
        <v/>
      </c>
      <c r="I65" s="20" t="str">
        <f>image("https://pokejungle.net/sprites/normal/"&amp;H64&amp;".png")</f>
        <v/>
      </c>
      <c r="J65" s="16" t="str">
        <f>image("https://i.imgur.com/a9HBljD.png")</f>
        <v/>
      </c>
      <c r="K65" s="20" t="str">
        <f>image("https://pokejungle.net/sprites/normal/"&amp;J64&amp;".png")</f>
        <v/>
      </c>
      <c r="L65" s="28" t="str">
        <f>image("https://i.imgur.com/EkqYYOB.png")</f>
        <v/>
      </c>
      <c r="M65" s="20" t="str">
        <f>image("https://pokejungle.net/sprites/normal/"&amp;L64&amp;".png")</f>
        <v/>
      </c>
      <c r="N65" s="16" t="str">
        <f>image("https://i.imgur.com/XNzvO0H.png")</f>
        <v/>
      </c>
      <c r="O65" s="20" t="str">
        <f>image("https://pokejungle.net/sprites/normal/"&amp;N64&amp;".png")</f>
        <v/>
      </c>
      <c r="P65" s="16" t="str">
        <f>image("https://i.imgur.com/bxys1sd.png")</f>
        <v/>
      </c>
      <c r="Q65" s="20" t="str">
        <f>image("https://pokejungle.net/sprites/normal/"&amp;P64&amp;".png")</f>
        <v/>
      </c>
      <c r="R65" s="33"/>
    </row>
    <row r="66" ht="26.25" customHeight="1">
      <c r="A66" s="15"/>
      <c r="B66" s="35" t="str">
        <f>image("https://i.imgur.com/rJhTvoD.png")</f>
        <v/>
      </c>
      <c r="C66" s="36"/>
      <c r="D66" s="35" t="str">
        <f>image("https://i.imgur.com/rJhTvoD.png")</f>
        <v/>
      </c>
      <c r="E66" s="36"/>
      <c r="F66" s="35" t="str">
        <f>image("https://i.imgur.com/rJhTvoD.png")</f>
        <v/>
      </c>
      <c r="G66" s="36"/>
      <c r="H66" s="37" t="str">
        <f>image("https://i.imgur.com/lKAfx6k.png")</f>
        <v/>
      </c>
      <c r="I66" s="36"/>
      <c r="J66" s="38" t="str">
        <f>image("https://i.imgur.com/rAI9Gyi.png")</f>
        <v/>
      </c>
      <c r="K66" s="36"/>
      <c r="L66" s="35" t="str">
        <f>image("https://i.imgur.com/rJhTvoD.png")</f>
        <v/>
      </c>
      <c r="M66" s="36"/>
      <c r="N66" s="38" t="str">
        <f>image("https://i.imgur.com/nNTmuH8.png")</f>
        <v/>
      </c>
      <c r="O66" s="36"/>
      <c r="P66" s="38"/>
      <c r="Q66" s="36"/>
      <c r="R66" s="33"/>
    </row>
    <row r="67" ht="26.25" customHeight="1">
      <c r="A67" s="15"/>
      <c r="B67" s="40" t="str">
        <f>image("https://i.imgur.com/beHgI95.png")</f>
        <v/>
      </c>
      <c r="C67" s="41"/>
      <c r="D67" s="40" t="str">
        <f>image("https://i.imgur.com/beHgI95.png")</f>
        <v/>
      </c>
      <c r="E67" s="41"/>
      <c r="F67" s="40" t="str">
        <f>image("https://i.imgur.com/beHgI95.png")</f>
        <v/>
      </c>
      <c r="G67" s="41"/>
      <c r="H67" s="40" t="str">
        <f>image("https://i.imgur.com/beHgI95.png")</f>
        <v/>
      </c>
      <c r="I67" s="41"/>
      <c r="J67" s="40"/>
      <c r="K67" s="41"/>
      <c r="L67" s="43" t="str">
        <f>image("https://i.imgur.com/beHgI95.png")</f>
        <v/>
      </c>
      <c r="M67" s="41"/>
      <c r="N67" s="40" t="str">
        <f>image("https://i.imgur.com/XI18XGu.png")</f>
        <v/>
      </c>
      <c r="O67" s="41"/>
      <c r="P67" s="40"/>
      <c r="Q67" s="41"/>
      <c r="R67" s="33"/>
    </row>
    <row r="68" ht="26.25" customHeight="1">
      <c r="A68" s="15"/>
      <c r="B68" s="16" t="str">
        <f>image("https://i.imgur.com/rAI9Gyi.png")</f>
        <v/>
      </c>
      <c r="C68" s="20" t="str">
        <f>image("https://pokejungle.net/sprites/shiny/"&amp;B64&amp;".png")</f>
        <v/>
      </c>
      <c r="D68" s="16" t="str">
        <f>image("https://i.imgur.com/rAI9Gyi.png")</f>
        <v/>
      </c>
      <c r="E68" s="20" t="str">
        <f>image("https://pokejungle.net/sprites/shiny/"&amp;D64&amp;".png")</f>
        <v/>
      </c>
      <c r="F68" s="16" t="str">
        <f>image("https://i.imgur.com/rAI9Gyi.png")</f>
        <v/>
      </c>
      <c r="G68" s="20" t="str">
        <f>image("https://pokejungle.net/sprites/shiny/"&amp;F64&amp;".png")</f>
        <v/>
      </c>
      <c r="H68" s="16" t="str">
        <f>image("https://i.imgur.com/EkqYYOB.png")</f>
        <v/>
      </c>
      <c r="I68" s="20" t="str">
        <f>image("https://pokejungle.net/sprites/shiny/"&amp;H64&amp;".png")</f>
        <v/>
      </c>
      <c r="J68" s="16" t="str">
        <f>image("https://i.imgur.com/EkqYYOB.png")</f>
        <v/>
      </c>
      <c r="K68" s="20" t="str">
        <f>image("https://pokejungle.net/sprites/shiny/"&amp;J64&amp;".png")</f>
        <v/>
      </c>
      <c r="L68" s="16" t="str">
        <f>image("https://i.imgur.com/EkqYYOB.png")</f>
        <v/>
      </c>
      <c r="M68" s="20" t="str">
        <f>image("https://pokejungle.net/sprites/shiny/"&amp;L64&amp;".png")</f>
        <v/>
      </c>
      <c r="N68" s="16" t="str">
        <f>image("https://i.imgur.com/EkqYYOB.png")</f>
        <v/>
      </c>
      <c r="O68" s="20" t="str">
        <f>image("https://pokejungle.net/sprites/shiny/"&amp;N64&amp;".png")</f>
        <v/>
      </c>
      <c r="P68" s="77" t="s">
        <v>995</v>
      </c>
      <c r="Q68" s="20" t="str">
        <f>image("https://img.pokemondb.net/sprites/home/shiny/cosmog.png")</f>
        <v/>
      </c>
      <c r="R68" s="33"/>
    </row>
    <row r="69" ht="26.25" customHeight="1">
      <c r="A69" s="15"/>
      <c r="B69" s="38" t="str">
        <f>image("https://i.imgur.com/a9HBljD.png")</f>
        <v/>
      </c>
      <c r="C69" s="36"/>
      <c r="D69" s="38" t="str">
        <f>image("https://i.imgur.com/a9HBljD.png")</f>
        <v/>
      </c>
      <c r="E69" s="36"/>
      <c r="F69" s="38" t="str">
        <f>image("https://i.imgur.com/a9HBljD.png")</f>
        <v/>
      </c>
      <c r="G69" s="36"/>
      <c r="H69" s="46" t="str">
        <f>image("https://i.imgur.com/RqSOGo6.png")</f>
        <v/>
      </c>
      <c r="I69" s="36"/>
      <c r="J69" s="38" t="str">
        <f>image("https://i.imgur.com/a9HBljD.png")</f>
        <v/>
      </c>
      <c r="K69" s="36"/>
      <c r="L69" s="46" t="str">
        <f>image("https://i.imgur.com/beHgI95.png")</f>
        <v/>
      </c>
      <c r="M69" s="36"/>
      <c r="N69" s="38" t="str">
        <f>image("https://i.imgur.com/XNzvO0H.png")</f>
        <v/>
      </c>
      <c r="O69" s="36"/>
      <c r="P69" s="78"/>
      <c r="Q69" s="36"/>
      <c r="R69" s="33"/>
    </row>
    <row r="70" ht="26.25" customHeight="1">
      <c r="A70" s="15"/>
      <c r="B70" s="40"/>
      <c r="C70" s="41"/>
      <c r="D70" s="43"/>
      <c r="E70" s="41"/>
      <c r="F70" s="40"/>
      <c r="G70" s="41"/>
      <c r="H70" s="43"/>
      <c r="I70" s="41"/>
      <c r="J70" s="40"/>
      <c r="K70" s="41"/>
      <c r="L70" s="43"/>
      <c r="M70" s="41"/>
      <c r="N70" s="40"/>
      <c r="O70" s="41"/>
      <c r="P70" s="79"/>
      <c r="Q70" s="41"/>
      <c r="R70" s="33"/>
    </row>
    <row r="71" ht="18.75" customHeight="1">
      <c r="A71" s="6"/>
      <c r="B71" s="8" t="s">
        <v>1778</v>
      </c>
      <c r="C71" s="10" t="s">
        <v>1779</v>
      </c>
      <c r="D71" s="8" t="s">
        <v>1780</v>
      </c>
      <c r="E71" s="10" t="s">
        <v>1781</v>
      </c>
      <c r="F71" s="8" t="s">
        <v>1782</v>
      </c>
      <c r="G71" s="10" t="s">
        <v>1783</v>
      </c>
      <c r="H71" s="8" t="s">
        <v>1784</v>
      </c>
      <c r="I71" s="10" t="s">
        <v>1785</v>
      </c>
      <c r="J71" s="8" t="s">
        <v>1786</v>
      </c>
      <c r="K71" s="10" t="s">
        <v>1787</v>
      </c>
      <c r="L71" s="8" t="s">
        <v>1788</v>
      </c>
      <c r="M71" s="10" t="s">
        <v>1789</v>
      </c>
      <c r="N71" s="8" t="s">
        <v>1790</v>
      </c>
      <c r="O71" s="10" t="s">
        <v>1791</v>
      </c>
      <c r="P71" s="8" t="s">
        <v>1792</v>
      </c>
      <c r="Q71" s="10" t="s">
        <v>1793</v>
      </c>
      <c r="R71" s="14"/>
    </row>
    <row r="72" ht="26.25" customHeight="1">
      <c r="A72" s="15"/>
      <c r="B72" s="16" t="str">
        <f>image("https://i.imgur.com/bxys1sd.png")</f>
        <v/>
      </c>
      <c r="C72" s="20" t="str">
        <f>image("https://pokejungle.net/sprites/normal/"&amp;B71&amp;".png")</f>
        <v/>
      </c>
      <c r="D72" s="16" t="str">
        <f>image("https://i.imgur.com/JOd7Boe.png")</f>
        <v/>
      </c>
      <c r="E72" s="20" t="str">
        <f>image("https://pokejungle.net/sprites/normal/"&amp;D71&amp;".png")</f>
        <v/>
      </c>
      <c r="F72" s="16" t="str">
        <f>image("https://i.imgur.com/JDgAgAO.png")</f>
        <v/>
      </c>
      <c r="G72" s="20" t="str">
        <f>image("https://pokejungle.net/sprites/normal/"&amp;F71&amp;".png")</f>
        <v/>
      </c>
      <c r="H72" s="24" t="str">
        <f>image("https://i.imgur.com/XNzvO0H.png")</f>
        <v/>
      </c>
      <c r="I72" s="20" t="str">
        <f>image("https://pokejungle.net/sprites/normal/"&amp;H71&amp;".png")</f>
        <v/>
      </c>
      <c r="J72" s="16" t="str">
        <f>image("https://i.imgur.com/EkqYYOB.png")</f>
        <v/>
      </c>
      <c r="K72" s="20" t="str">
        <f>image("https://pokejungle.net/sprites/normal/"&amp;J71&amp;".png")</f>
        <v/>
      </c>
      <c r="L72" s="28" t="str">
        <f>image("https://i.imgur.com/0ArMZjJ.png")</f>
        <v/>
      </c>
      <c r="M72" s="20" t="str">
        <f>image("https://pokejungle.net/sprites/normal/"&amp;L71&amp;".png")</f>
        <v/>
      </c>
      <c r="N72" s="16" t="str">
        <f>image("https://i.imgur.com/beHgI95.png")</f>
        <v/>
      </c>
      <c r="O72" s="20" t="str">
        <f>image("https://pokejungle.net/sprites/normal/"&amp;N71&amp;".png")</f>
        <v/>
      </c>
      <c r="P72" s="16" t="str">
        <f>image("https://i.imgur.com/XIu6jDl.png")</f>
        <v/>
      </c>
      <c r="Q72" s="20" t="str">
        <f>image("https://pokejungle.net/sprites/normal/"&amp;P71&amp;".png")</f>
        <v/>
      </c>
      <c r="R72" s="33"/>
    </row>
    <row r="73" ht="26.25" customHeight="1">
      <c r="A73" s="15"/>
      <c r="B73" s="38"/>
      <c r="C73" s="36"/>
      <c r="D73" s="35" t="str">
        <f>image("https://i.imgur.com/0ArMZjJ.png")</f>
        <v/>
      </c>
      <c r="E73" s="36"/>
      <c r="F73" s="35" t="str">
        <f>image("https://i.imgur.com/IIajvuS.png")</f>
        <v/>
      </c>
      <c r="G73" s="36"/>
      <c r="H73" s="37" t="str">
        <f>image("https://i.imgur.com/IIajvuS.png")</f>
        <v/>
      </c>
      <c r="I73" s="36"/>
      <c r="J73" s="38" t="str">
        <f>image("https://i.imgur.com/IIajvuS.png")</f>
        <v/>
      </c>
      <c r="K73" s="36"/>
      <c r="L73" s="35" t="str">
        <f>image("https://i.imgur.com/IIajvuS.png")</f>
        <v/>
      </c>
      <c r="M73" s="36"/>
      <c r="N73" s="38" t="str">
        <f>image("https://i.imgur.com/IIajvuS.png")</f>
        <v/>
      </c>
      <c r="O73" s="36"/>
      <c r="P73" s="38" t="str">
        <f>image("https://i.imgur.com/IIajvuS.png")</f>
        <v/>
      </c>
      <c r="Q73" s="36"/>
      <c r="R73" s="33"/>
    </row>
    <row r="74" ht="26.25" customHeight="1">
      <c r="A74" s="15"/>
      <c r="B74" s="40"/>
      <c r="C74" s="41"/>
      <c r="D74" s="40" t="str">
        <f>image("https://i.imgur.com/IIajvuS.png")</f>
        <v/>
      </c>
      <c r="E74" s="41"/>
      <c r="F74" s="40"/>
      <c r="G74" s="41"/>
      <c r="H74" s="40"/>
      <c r="I74" s="41"/>
      <c r="J74" s="40"/>
      <c r="K74" s="41"/>
      <c r="L74" s="43"/>
      <c r="M74" s="41"/>
      <c r="N74" s="40"/>
      <c r="O74" s="41"/>
      <c r="P74" s="40"/>
      <c r="Q74" s="41"/>
      <c r="R74" s="33"/>
    </row>
    <row r="75" ht="26.25" customHeight="1">
      <c r="A75" s="15"/>
      <c r="B75" s="77" t="s">
        <v>995</v>
      </c>
      <c r="C75" s="20" t="str">
        <f>image("https://img.pokemondb.net/sprites/home/shiny/cosmoem.png")</f>
        <v/>
      </c>
      <c r="D75" s="16" t="str">
        <f>image("https://i.imgur.com/aeqHLEh.png")</f>
        <v/>
      </c>
      <c r="E75" s="20" t="str">
        <f>image("https://pokejungle.net/sprites/shiny/"&amp;D71&amp;".png")</f>
        <v/>
      </c>
      <c r="F75" s="16" t="str">
        <f>image("https://i.imgur.com/aeqHLEh.png")</f>
        <v/>
      </c>
      <c r="G75" s="20" t="str">
        <f>image("https://pokejungle.net/sprites/shiny/"&amp;F71&amp;".png")</f>
        <v/>
      </c>
      <c r="H75" s="16" t="str">
        <f>image("https://i.imgur.com/rJhTvoD.png")</f>
        <v/>
      </c>
      <c r="I75" s="20" t="str">
        <f>image("https://pokejungle.net/sprites/shiny/"&amp;H71&amp;".png")</f>
        <v/>
      </c>
      <c r="J75" s="16" t="str">
        <f>image("https://i.imgur.com/N2Wqr43.png")</f>
        <v/>
      </c>
      <c r="K75" s="20" t="str">
        <f>image("https://pokejungle.net/sprites/shiny/"&amp;J71&amp;".png")</f>
        <v/>
      </c>
      <c r="L75" s="16" t="str">
        <f>image("https://i.imgur.com/EkqYYOB.png")</f>
        <v/>
      </c>
      <c r="M75" s="20" t="str">
        <f>image("https://pokejungle.net/sprites/shiny/"&amp;L71&amp;".png")</f>
        <v/>
      </c>
      <c r="N75" s="16" t="str">
        <f>image("https://i.imgur.com/XNzvO0H.png")</f>
        <v/>
      </c>
      <c r="O75" s="20" t="str">
        <f>image("https://pokejungle.net/sprites/shiny/"&amp;N71&amp;".png")</f>
        <v/>
      </c>
      <c r="P75" s="16" t="str">
        <f>image("https://i.imgur.com/0ArMZjJ.png")</f>
        <v/>
      </c>
      <c r="Q75" s="20" t="str">
        <f>image("https://pokejungle.net/sprites/shiny/"&amp;P71&amp;".png")</f>
        <v/>
      </c>
      <c r="R75" s="33"/>
    </row>
    <row r="76" ht="26.25" customHeight="1">
      <c r="A76" s="15"/>
      <c r="B76" s="78"/>
      <c r="C76" s="36"/>
      <c r="D76" s="46" t="str">
        <f>image("https://i.imgur.com/EkqYYOB.png")</f>
        <v/>
      </c>
      <c r="E76" s="36"/>
      <c r="F76" s="35" t="str">
        <f>image("https://i.imgur.com/EkqYYOB.png")</f>
        <v/>
      </c>
      <c r="G76" s="36"/>
      <c r="H76" s="46" t="str">
        <f>image("https://i.imgur.com/IIajvuS.png")</f>
        <v/>
      </c>
      <c r="I76" s="36"/>
      <c r="J76" s="38" t="str">
        <f>image("https://i.imgur.com/IIajvuS.png")</f>
        <v/>
      </c>
      <c r="K76" s="36"/>
      <c r="L76" s="46" t="str">
        <f>image("https://i.imgur.com/IIajvuS.png")</f>
        <v/>
      </c>
      <c r="M76" s="36"/>
      <c r="N76" s="38" t="str">
        <f>image("https://i.imgur.com/IIajvuS.png")</f>
        <v/>
      </c>
      <c r="O76" s="36"/>
      <c r="P76" s="38" t="str">
        <f>image("https://i.imgur.com/IIajvuS.png")</f>
        <v/>
      </c>
      <c r="Q76" s="36"/>
      <c r="R76" s="33"/>
    </row>
    <row r="77" ht="26.25" customHeight="1">
      <c r="A77" s="15"/>
      <c r="B77" s="79"/>
      <c r="C77" s="41"/>
      <c r="D77" s="43" t="str">
        <f>image("https://i.imgur.com/rJhTvoD.png")</f>
        <v/>
      </c>
      <c r="E77" s="41"/>
      <c r="F77" s="40" t="str">
        <f>image("https://i.imgur.com/JDgAgAO.png")</f>
        <v/>
      </c>
      <c r="G77" s="41"/>
      <c r="H77" s="43"/>
      <c r="I77" s="41"/>
      <c r="J77" s="40"/>
      <c r="K77" s="41"/>
      <c r="L77" s="43"/>
      <c r="M77" s="41"/>
      <c r="N77" s="40"/>
      <c r="O77" s="41"/>
      <c r="P77" s="40"/>
      <c r="Q77" s="41"/>
      <c r="R77" s="33"/>
    </row>
    <row r="78" ht="18.75" customHeight="1">
      <c r="A78" s="6"/>
      <c r="B78" s="8" t="s">
        <v>1841</v>
      </c>
      <c r="C78" s="10" t="s">
        <v>1842</v>
      </c>
      <c r="D78" s="8" t="s">
        <v>1843</v>
      </c>
      <c r="E78" s="10" t="s">
        <v>1844</v>
      </c>
      <c r="F78" s="8" t="s">
        <v>1845</v>
      </c>
      <c r="G78" s="10" t="s">
        <v>1846</v>
      </c>
      <c r="H78" s="8" t="s">
        <v>1845</v>
      </c>
      <c r="I78" s="10" t="s">
        <v>1847</v>
      </c>
      <c r="J78" s="8" t="s">
        <v>1845</v>
      </c>
      <c r="K78" s="10" t="s">
        <v>1848</v>
      </c>
      <c r="L78" s="8" t="s">
        <v>1849</v>
      </c>
      <c r="M78" s="10" t="s">
        <v>1850</v>
      </c>
      <c r="N78" s="8" t="s">
        <v>1849</v>
      </c>
      <c r="O78" s="68" t="s">
        <v>1851</v>
      </c>
      <c r="P78" s="8" t="s">
        <v>1852</v>
      </c>
      <c r="Q78" s="10" t="s">
        <v>1853</v>
      </c>
      <c r="R78" s="14"/>
    </row>
    <row r="79" ht="26.25" customHeight="1">
      <c r="A79" s="15"/>
      <c r="B79" s="16" t="str">
        <f>image("https://i.imgur.com/lKAfx6k.png")</f>
        <v/>
      </c>
      <c r="C79" s="20" t="str">
        <f>image("https://pokejungle.net/sprites/normal/"&amp;B78&amp;".png")</f>
        <v/>
      </c>
      <c r="D79" s="16" t="str">
        <f>image("https://i.imgur.com/beHgI95.png")</f>
        <v/>
      </c>
      <c r="E79" s="20" t="str">
        <f>image("https://pokejungle.net/sprites/normal/"&amp;D78&amp;".png")</f>
        <v/>
      </c>
      <c r="F79" s="16" t="str">
        <f>image("https://i.imgur.com/EkqYYOB.png")</f>
        <v/>
      </c>
      <c r="G79" s="20" t="str">
        <f>image("https://pokejungle.net/sprites/normal/"&amp;F78&amp;".png")</f>
        <v/>
      </c>
      <c r="H79" s="24" t="str">
        <f>image("https://i.imgur.com/beHgI95.png")</f>
        <v/>
      </c>
      <c r="I79" s="20" t="str">
        <f>image("https://img.pokemondb.net/sprites/home/normal/necrozma-dusk-mane.png")</f>
        <v/>
      </c>
      <c r="J79" s="16" t="str">
        <f>image("https://i.imgur.com/JDgAgAO.png")</f>
        <v/>
      </c>
      <c r="K79" s="20" t="str">
        <f>image("https://img.pokemondb.net/sprites/home/normal/necrozma-dawn-wings.png")</f>
        <v/>
      </c>
      <c r="L79" s="16" t="str">
        <f>image("https://i.imgur.com/aeqHLEh.png")</f>
        <v/>
      </c>
      <c r="M79" s="20" t="str">
        <f>image("https://pokejungle.net/sprites/normal/"&amp;L78&amp;".png")</f>
        <v/>
      </c>
      <c r="N79" s="16" t="str">
        <f>image("https://i.imgur.com/aeqHLEh.png")</f>
        <v/>
      </c>
      <c r="O79" s="20" t="str">
        <f>image("https://pokejungle.net/sprites/normal/"&amp;N78&amp;"-1.png")</f>
        <v/>
      </c>
      <c r="P79" s="16" t="str">
        <f>image("https://i.imgur.com/N2Wqr43.png")</f>
        <v/>
      </c>
      <c r="Q79" s="20" t="str">
        <f>image("https://pokejungle.net/sprites/normal/"&amp;P78&amp;".png")</f>
        <v/>
      </c>
      <c r="R79" s="33"/>
    </row>
    <row r="80" ht="26.25" customHeight="1">
      <c r="A80" s="15"/>
      <c r="B80" s="38" t="str">
        <f>image("https://i.imgur.com/IIajvuS.png")</f>
        <v/>
      </c>
      <c r="C80" s="36"/>
      <c r="D80" s="35" t="str">
        <f>image("https://i.imgur.com/IIajvuS.png")</f>
        <v/>
      </c>
      <c r="E80" s="36"/>
      <c r="F80" s="35" t="str">
        <f>image("https://i.imgur.com/IIajvuS.png")</f>
        <v/>
      </c>
      <c r="G80" s="36"/>
      <c r="H80" s="37" t="str">
        <f>image("https://i.imgur.com/IIajvuS.png")</f>
        <v/>
      </c>
      <c r="I80" s="36"/>
      <c r="J80" s="38" t="str">
        <f>image("https://i.imgur.com/IIajvuS.png")</f>
        <v/>
      </c>
      <c r="K80" s="36"/>
      <c r="L80" s="35" t="str">
        <f>image("https://i.imgur.com/bxys1sd.png")</f>
        <v/>
      </c>
      <c r="M80" s="36"/>
      <c r="N80" s="38"/>
      <c r="O80" s="36"/>
      <c r="P80" s="35" t="str">
        <f>image("https://i.imgur.com/EkqYYOB.png")</f>
        <v/>
      </c>
      <c r="Q80" s="36"/>
      <c r="R80" s="33"/>
    </row>
    <row r="81" ht="26.25" customHeight="1">
      <c r="A81" s="15"/>
      <c r="B81" s="40"/>
      <c r="C81" s="41"/>
      <c r="D81" s="40"/>
      <c r="E81" s="41"/>
      <c r="F81" s="40"/>
      <c r="G81" s="41"/>
      <c r="H81" s="40"/>
      <c r="I81" s="41"/>
      <c r="J81" s="40"/>
      <c r="K81" s="41"/>
      <c r="L81" s="40"/>
      <c r="M81" s="41"/>
      <c r="N81" s="40"/>
      <c r="O81" s="41"/>
      <c r="P81" s="40" t="str">
        <f>image("https://i.imgur.com/beHgI95.png")</f>
        <v/>
      </c>
      <c r="Q81" s="41"/>
      <c r="R81" s="33"/>
    </row>
    <row r="82" ht="26.25" customHeight="1">
      <c r="A82" s="15"/>
      <c r="B82" s="16" t="str">
        <f>image("https://i.imgur.com/JOd7Boe.png")</f>
        <v/>
      </c>
      <c r="C82" s="20" t="str">
        <f>image("https://pokejungle.net/sprites/shiny/"&amp;B78&amp;".png")</f>
        <v/>
      </c>
      <c r="D82" s="16" t="str">
        <f>image("https://i.imgur.com/RqSOGo6.png")</f>
        <v/>
      </c>
      <c r="E82" s="20" t="str">
        <f>image("https://pokejungle.net/sprites/shiny/"&amp;D78&amp;".png")</f>
        <v/>
      </c>
      <c r="F82" s="16" t="str">
        <f>image("https://i.imgur.com/SF5CZ6U.png")</f>
        <v/>
      </c>
      <c r="G82" s="20" t="str">
        <f>image("https://pokejungle.net/sprites/shiny/"&amp;F78&amp;".png")</f>
        <v/>
      </c>
      <c r="H82" s="16" t="str">
        <f>image("https://i.imgur.com/SF5CZ6U.png")</f>
        <v/>
      </c>
      <c r="I82" s="20" t="str">
        <f>image("https://img.pokemondb.net/sprites/home/shiny/necrozma-dusk-mane.png")</f>
        <v/>
      </c>
      <c r="J82" s="16" t="str">
        <f>image("https://i.imgur.com/SF5CZ6U.png")</f>
        <v/>
      </c>
      <c r="K82" s="20" t="str">
        <f>image("https://img.pokemondb.net/sprites/home/shiny/necrozma-dawn-wings.png")</f>
        <v/>
      </c>
      <c r="L82" s="77" t="s">
        <v>995</v>
      </c>
      <c r="M82" s="20" t="str">
        <f>image("https://img.pokemondb.net/sprites/home/shiny/magearna.png")</f>
        <v/>
      </c>
      <c r="N82" s="77" t="s">
        <v>995</v>
      </c>
      <c r="O82" s="20" t="str">
        <f>image("https://img.pokemondb.net/sprites/home/shiny/magearna-original.png")</f>
        <v/>
      </c>
      <c r="P82" s="77" t="s">
        <v>995</v>
      </c>
      <c r="Q82" s="20" t="str">
        <f>image("https://img.pokemondb.net/sprites/home/shiny/marshadow.png")</f>
        <v/>
      </c>
      <c r="R82" s="33"/>
    </row>
    <row r="83" ht="26.25" customHeight="1">
      <c r="A83" s="15"/>
      <c r="B83" s="38" t="str">
        <f>image("https://i.imgur.com/IIajvuS.png")</f>
        <v/>
      </c>
      <c r="C83" s="36"/>
      <c r="D83" s="46" t="str">
        <f>image("https://i.imgur.com/IIajvuS.png")</f>
        <v/>
      </c>
      <c r="E83" s="36"/>
      <c r="F83" s="35" t="str">
        <f>image("https://i.imgur.com/IIajvuS.png")</f>
        <v/>
      </c>
      <c r="G83" s="36"/>
      <c r="H83" s="46" t="str">
        <f>image("https://i.imgur.com/IIajvuS.png")</f>
        <v/>
      </c>
      <c r="I83" s="36"/>
      <c r="J83" s="38" t="str">
        <f>image("https://i.imgur.com/IIajvuS.png")</f>
        <v/>
      </c>
      <c r="K83" s="36"/>
      <c r="L83" s="78"/>
      <c r="M83" s="36"/>
      <c r="N83" s="78"/>
      <c r="O83" s="36"/>
      <c r="P83" s="78"/>
      <c r="Q83" s="36"/>
      <c r="R83" s="33"/>
    </row>
    <row r="84" ht="26.25" customHeight="1">
      <c r="A84" s="15"/>
      <c r="B84" s="40"/>
      <c r="C84" s="41"/>
      <c r="D84" s="43"/>
      <c r="E84" s="41"/>
      <c r="F84" s="40"/>
      <c r="G84" s="41"/>
      <c r="H84" s="43" t="str">
        <f>image("https://i.imgur.com/aeqHLEh.png")</f>
        <v/>
      </c>
      <c r="I84" s="41"/>
      <c r="J84" s="40" t="str">
        <f>image("https://i.imgur.com/aeqHLEh.png")</f>
        <v/>
      </c>
      <c r="K84" s="41"/>
      <c r="L84" s="79"/>
      <c r="M84" s="41"/>
      <c r="N84" s="79"/>
      <c r="O84" s="41"/>
      <c r="P84" s="79"/>
      <c r="Q84" s="41"/>
      <c r="R84" s="33"/>
    </row>
    <row r="85" ht="18.75" customHeight="1">
      <c r="A85" s="6"/>
      <c r="B85" s="8" t="s">
        <v>1900</v>
      </c>
      <c r="C85" s="10" t="s">
        <v>1901</v>
      </c>
      <c r="D85" s="8" t="s">
        <v>1902</v>
      </c>
      <c r="E85" s="10" t="s">
        <v>1903</v>
      </c>
      <c r="F85" s="8" t="s">
        <v>1904</v>
      </c>
      <c r="G85" s="10" t="s">
        <v>1905</v>
      </c>
      <c r="H85" s="8" t="s">
        <v>1906</v>
      </c>
      <c r="I85" s="10" t="s">
        <v>1907</v>
      </c>
      <c r="J85" s="8" t="s">
        <v>1908</v>
      </c>
      <c r="K85" s="10" t="s">
        <v>1909</v>
      </c>
      <c r="L85" s="8" t="s">
        <v>1910</v>
      </c>
      <c r="M85" s="10" t="s">
        <v>1911</v>
      </c>
      <c r="N85" s="8" t="s">
        <v>1912</v>
      </c>
      <c r="O85" s="10" t="s">
        <v>1913</v>
      </c>
      <c r="P85" s="8"/>
      <c r="Q85" s="114"/>
      <c r="R85" s="14"/>
    </row>
    <row r="86" ht="26.25" customHeight="1">
      <c r="A86" s="15"/>
      <c r="B86" s="16" t="str">
        <f>image("https://i.imgur.com/nNTmuH8.png")</f>
        <v/>
      </c>
      <c r="C86" s="20" t="str">
        <f>image("https://pokejungle.net/sprites/normal/"&amp;B85&amp;".png")</f>
        <v/>
      </c>
      <c r="D86" s="16" t="str">
        <f>image("https://i.imgur.com/nNTmuH8.png")</f>
        <v/>
      </c>
      <c r="E86" s="20" t="str">
        <f>image("https://pokejungle.net/sprites/normal/"&amp;D85&amp;".png")</f>
        <v/>
      </c>
      <c r="F86" s="16" t="str">
        <f>image("https://i.imgur.com/NkILW1J.png")</f>
        <v/>
      </c>
      <c r="G86" s="20" t="str">
        <f>image("https://pokejungle.net/sprites/normal/"&amp;F85&amp;".png")</f>
        <v/>
      </c>
      <c r="H86" s="24" t="str">
        <f>image("https://i.imgur.com/rAI9Gyi.png")</f>
        <v/>
      </c>
      <c r="I86" s="20" t="str">
        <f>image("https://pokejungle.net/sprites/normal/"&amp;H85&amp;".png")</f>
        <v/>
      </c>
      <c r="J86" s="16" t="str">
        <f>image("https://i.imgur.com/JDgAgAO.png")</f>
        <v/>
      </c>
      <c r="K86" s="20" t="str">
        <f>image("https://pokejungle.net/sprites/normal/"&amp;J85&amp;".png")</f>
        <v/>
      </c>
      <c r="L86" s="16" t="str">
        <f>image("https://i.imgur.com/NkILW1J.png")</f>
        <v/>
      </c>
      <c r="M86" s="20" t="str">
        <f>image("https://pokejungle.net/sprites/normal/"&amp;L85&amp;".png")</f>
        <v/>
      </c>
      <c r="N86" s="16" t="str">
        <f>image("https://i.imgur.com/beHgI95.png")</f>
        <v/>
      </c>
      <c r="O86" s="20" t="str">
        <f>image("https://pokejungle.net/sprites/normal/"&amp;N85&amp;".png")</f>
        <v/>
      </c>
      <c r="P86" s="115"/>
      <c r="Q86" s="116"/>
      <c r="R86" s="33"/>
    </row>
    <row r="87" ht="26.25" customHeight="1">
      <c r="A87" s="15"/>
      <c r="B87" s="38" t="str">
        <f>image("https://i.imgur.com/IIajvuS.png")</f>
        <v/>
      </c>
      <c r="C87" s="36"/>
      <c r="D87" s="35" t="str">
        <f>image("https://i.imgur.com/IIajvuS.png")</f>
        <v/>
      </c>
      <c r="E87" s="36"/>
      <c r="F87" s="35" t="str">
        <f>image("https://i.imgur.com/IIajvuS.png")</f>
        <v/>
      </c>
      <c r="G87" s="36"/>
      <c r="H87" s="37" t="str">
        <f>image("https://i.imgur.com/IIajvuS.png")</f>
        <v/>
      </c>
      <c r="I87" s="36"/>
      <c r="J87" s="35" t="str">
        <f>image("https://i.imgur.com/zpybKax.png")</f>
        <v/>
      </c>
      <c r="K87" s="36"/>
      <c r="L87" s="35" t="str">
        <f>image("https://i.imgur.com/EkqYYOB.png")</f>
        <v/>
      </c>
      <c r="M87" s="36"/>
      <c r="N87" s="46" t="str">
        <f>image("https://i.imgur.com/aeqHLEh.png")</f>
        <v/>
      </c>
      <c r="O87" s="36"/>
      <c r="P87" s="115"/>
      <c r="Q87" s="75"/>
      <c r="R87" s="33"/>
    </row>
    <row r="88" ht="26.25" customHeight="1">
      <c r="A88" s="15"/>
      <c r="B88" s="43" t="str">
        <f t="shared" ref="B88:B89" si="4">image("https://i.imgur.com/bxys1sd.png")</f>
        <v/>
      </c>
      <c r="C88" s="41"/>
      <c r="D88" s="43" t="str">
        <f t="shared" ref="D88:D89" si="5">image("https://i.imgur.com/bxys1sd.png")</f>
        <v/>
      </c>
      <c r="E88" s="41"/>
      <c r="F88" s="40"/>
      <c r="G88" s="41"/>
      <c r="H88" s="40"/>
      <c r="I88" s="41"/>
      <c r="J88" s="40" t="str">
        <f>image("https://i.imgur.com/IIajvuS.png")</f>
        <v/>
      </c>
      <c r="K88" s="41"/>
      <c r="L88" s="40" t="str">
        <f t="shared" ref="L88:L89" si="6">image("https://i.imgur.com/beHgI95.png")</f>
        <v/>
      </c>
      <c r="M88" s="41"/>
      <c r="N88" s="43" t="str">
        <f>image("https://i.imgur.com/bxys1sd.png")</f>
        <v/>
      </c>
      <c r="O88" s="41"/>
      <c r="P88" s="115"/>
      <c r="Q88" s="76"/>
      <c r="R88" s="33"/>
    </row>
    <row r="89" ht="26.25" customHeight="1">
      <c r="A89" s="15"/>
      <c r="B89" s="16" t="str">
        <f t="shared" si="4"/>
        <v/>
      </c>
      <c r="C89" s="20" t="str">
        <f>image("https://pokejungle.net/sprites/shiny/"&amp;B85&amp;".png")</f>
        <v/>
      </c>
      <c r="D89" s="16" t="str">
        <f t="shared" si="5"/>
        <v/>
      </c>
      <c r="E89" s="20" t="str">
        <f>image("https://pokejungle.net/sprites/shiny/"&amp;D85&amp;".png")</f>
        <v/>
      </c>
      <c r="F89" s="16" t="str">
        <f>image("https://i.imgur.com/zpybKax.png")</f>
        <v/>
      </c>
      <c r="G89" s="20" t="str">
        <f>image("https://pokejungle.net/sprites/shiny/"&amp;F85&amp;".png")</f>
        <v/>
      </c>
      <c r="H89" s="16" t="str">
        <f>image("https://i.imgur.com/rAI9Gyi.png")</f>
        <v/>
      </c>
      <c r="I89" s="20" t="str">
        <f>image("https://pokejungle.net/sprites/shiny/"&amp;H85&amp;".png")</f>
        <v/>
      </c>
      <c r="J89" s="16" t="str">
        <f>image("https://i.imgur.com/aeqHLEh.png")</f>
        <v/>
      </c>
      <c r="K89" s="20" t="str">
        <f>image("https://img.pokemondb.net/sprites/home/shiny/zeraora.png")</f>
        <v/>
      </c>
      <c r="L89" s="16" t="str">
        <f t="shared" si="6"/>
        <v/>
      </c>
      <c r="M89" s="20" t="str">
        <f>image("https://pokejungle.net/sprites/shiny/"&amp;L85&amp;".png")</f>
        <v/>
      </c>
      <c r="N89" s="16" t="str">
        <f>image("https://i.imgur.com/beHgI95.png")</f>
        <v/>
      </c>
      <c r="O89" s="20" t="str">
        <f>image("https://pokejungle.net/sprites/shiny/"&amp;N85&amp;".png")</f>
        <v/>
      </c>
      <c r="P89" s="115"/>
      <c r="Q89" s="116"/>
      <c r="R89" s="33"/>
    </row>
    <row r="90" ht="26.25" customHeight="1">
      <c r="A90" s="15"/>
      <c r="B90" s="38" t="str">
        <f>image("https://i.imgur.com/aeqHLEh.png")</f>
        <v/>
      </c>
      <c r="C90" s="36"/>
      <c r="D90" s="46" t="str">
        <f>image("https://i.imgur.com/aeqHLEh.png")</f>
        <v/>
      </c>
      <c r="E90" s="36"/>
      <c r="F90" s="35" t="str">
        <f>image("https://i.imgur.com/IIajvuS.png")</f>
        <v/>
      </c>
      <c r="G90" s="36"/>
      <c r="H90" s="46" t="str">
        <f>image("https://i.imgur.com/IIajvuS.png")</f>
        <v/>
      </c>
      <c r="I90" s="36"/>
      <c r="J90" s="38"/>
      <c r="K90" s="36"/>
      <c r="L90" s="46" t="str">
        <f>image("https://i.imgur.com/aeqHLEh.png")</f>
        <v/>
      </c>
      <c r="M90" s="36"/>
      <c r="N90" s="38"/>
      <c r="O90" s="36"/>
      <c r="P90" s="115"/>
      <c r="Q90" s="75"/>
      <c r="R90" s="33"/>
    </row>
    <row r="91" ht="26.25" customHeight="1">
      <c r="A91" s="15"/>
      <c r="B91" s="40"/>
      <c r="C91" s="41"/>
      <c r="D91" s="43"/>
      <c r="E91" s="41"/>
      <c r="F91" s="40"/>
      <c r="G91" s="41"/>
      <c r="H91" s="43"/>
      <c r="I91" s="41"/>
      <c r="J91" s="40"/>
      <c r="K91" s="41"/>
      <c r="L91" s="43"/>
      <c r="M91" s="41"/>
      <c r="N91" s="40"/>
      <c r="O91" s="41"/>
      <c r="P91" s="115"/>
      <c r="Q91" s="76"/>
      <c r="R91" s="33"/>
    </row>
    <row r="92" ht="18.75" customHeight="1">
      <c r="A92" s="1"/>
      <c r="B92" s="2"/>
      <c r="C92" s="1"/>
      <c r="D92" s="2"/>
      <c r="E92" s="1"/>
      <c r="F92" s="2"/>
      <c r="G92" s="1"/>
      <c r="H92" s="2"/>
      <c r="I92" s="1"/>
      <c r="J92" s="2"/>
      <c r="K92" s="1"/>
      <c r="L92" s="2"/>
      <c r="M92" s="1"/>
      <c r="N92" s="2"/>
      <c r="O92" s="1"/>
      <c r="P92" s="2"/>
      <c r="Q92" s="1"/>
      <c r="R92" s="1"/>
    </row>
  </sheetData>
  <mergeCells count="213">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75:Q77"/>
    <mergeCell ref="Q79:Q81"/>
    <mergeCell ref="P82:P84"/>
    <mergeCell ref="Q82:Q84"/>
    <mergeCell ref="Q86:Q88"/>
    <mergeCell ref="Q89:Q91"/>
    <mergeCell ref="Q54:Q56"/>
    <mergeCell ref="Q58:Q60"/>
    <mergeCell ref="Q61:Q63"/>
    <mergeCell ref="Q65:Q67"/>
    <mergeCell ref="P68:P70"/>
    <mergeCell ref="Q68:Q70"/>
    <mergeCell ref="Q72:Q74"/>
    <mergeCell ref="K61:K63"/>
    <mergeCell ref="K65:K67"/>
    <mergeCell ref="K79:K81"/>
    <mergeCell ref="K82:K84"/>
    <mergeCell ref="K86:K88"/>
    <mergeCell ref="K89:K91"/>
    <mergeCell ref="K37:K39"/>
    <mergeCell ref="K40:K42"/>
    <mergeCell ref="K44:K46"/>
    <mergeCell ref="K47:K49"/>
    <mergeCell ref="K51:K53"/>
    <mergeCell ref="K54:K56"/>
    <mergeCell ref="K58:K60"/>
    <mergeCell ref="G65:G67"/>
    <mergeCell ref="G68:G70"/>
    <mergeCell ref="G40:G42"/>
    <mergeCell ref="G44:G46"/>
    <mergeCell ref="G47:G49"/>
    <mergeCell ref="G51:G53"/>
    <mergeCell ref="G54:G56"/>
    <mergeCell ref="G58:G60"/>
    <mergeCell ref="G61:G63"/>
    <mergeCell ref="I19:I21"/>
    <mergeCell ref="I23:I25"/>
    <mergeCell ref="I30:I32"/>
    <mergeCell ref="I33:I35"/>
    <mergeCell ref="I37:I39"/>
    <mergeCell ref="I40:I42"/>
    <mergeCell ref="I44:I46"/>
    <mergeCell ref="I79:I81"/>
    <mergeCell ref="I82:I84"/>
    <mergeCell ref="I86:I88"/>
    <mergeCell ref="I89:I91"/>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65:O67"/>
    <mergeCell ref="O68:O70"/>
    <mergeCell ref="O72:O74"/>
    <mergeCell ref="O75:O77"/>
    <mergeCell ref="O79:O81"/>
    <mergeCell ref="O82:O84"/>
    <mergeCell ref="O86:O88"/>
    <mergeCell ref="O89:O91"/>
    <mergeCell ref="O40:O42"/>
    <mergeCell ref="O44:O46"/>
    <mergeCell ref="O47:O49"/>
    <mergeCell ref="O51:O53"/>
    <mergeCell ref="O54:O56"/>
    <mergeCell ref="O58:O60"/>
    <mergeCell ref="O61:O63"/>
    <mergeCell ref="I72:I74"/>
    <mergeCell ref="I75:I77"/>
    <mergeCell ref="M72:M74"/>
    <mergeCell ref="M75:M77"/>
    <mergeCell ref="M79:M81"/>
    <mergeCell ref="L82:L84"/>
    <mergeCell ref="M82:M84"/>
    <mergeCell ref="N82:N84"/>
    <mergeCell ref="M86:M88"/>
    <mergeCell ref="M89:M91"/>
    <mergeCell ref="M58:M60"/>
    <mergeCell ref="M61:M63"/>
    <mergeCell ref="M65:M67"/>
    <mergeCell ref="K68:K70"/>
    <mergeCell ref="M68:M70"/>
    <mergeCell ref="K72:K74"/>
    <mergeCell ref="K75:K77"/>
    <mergeCell ref="E75:E77"/>
    <mergeCell ref="E79:E81"/>
    <mergeCell ref="E82:E84"/>
    <mergeCell ref="E58:E60"/>
    <mergeCell ref="E61:E63"/>
    <mergeCell ref="E65:E67"/>
    <mergeCell ref="E68:E70"/>
    <mergeCell ref="E72:E74"/>
    <mergeCell ref="G72:G74"/>
    <mergeCell ref="G75:G77"/>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G79:G81"/>
    <mergeCell ref="G82:G84"/>
    <mergeCell ref="G86:G88"/>
    <mergeCell ref="G89:G91"/>
    <mergeCell ref="C82:C84"/>
    <mergeCell ref="C86:C88"/>
    <mergeCell ref="E86:E88"/>
    <mergeCell ref="C89:C91"/>
    <mergeCell ref="E89:E91"/>
    <mergeCell ref="C61:C63"/>
    <mergeCell ref="C65:C67"/>
    <mergeCell ref="C68:C70"/>
    <mergeCell ref="C72:C74"/>
    <mergeCell ref="B75:B77"/>
    <mergeCell ref="C75:C77"/>
    <mergeCell ref="C79:C8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6"/>
      <c r="B1" s="8" t="s">
        <v>1287</v>
      </c>
      <c r="C1" s="10" t="s">
        <v>1288</v>
      </c>
      <c r="D1" s="8" t="s">
        <v>1289</v>
      </c>
      <c r="E1" s="10" t="s">
        <v>1290</v>
      </c>
      <c r="F1" s="8" t="s">
        <v>1291</v>
      </c>
      <c r="G1" s="10" t="s">
        <v>1292</v>
      </c>
      <c r="H1" s="8" t="s">
        <v>1293</v>
      </c>
      <c r="I1" s="10" t="s">
        <v>1295</v>
      </c>
      <c r="J1" s="8" t="s">
        <v>1297</v>
      </c>
      <c r="K1" s="10" t="s">
        <v>1300</v>
      </c>
      <c r="L1" s="8" t="s">
        <v>1302</v>
      </c>
      <c r="M1" s="10" t="s">
        <v>1304</v>
      </c>
      <c r="N1" s="8" t="s">
        <v>1306</v>
      </c>
      <c r="O1" s="10" t="s">
        <v>1308</v>
      </c>
      <c r="P1" s="8" t="s">
        <v>1310</v>
      </c>
      <c r="Q1" s="10" t="s">
        <v>1312</v>
      </c>
      <c r="R1" s="14"/>
    </row>
    <row r="2" ht="26.25" customHeight="1">
      <c r="A2" s="15"/>
      <c r="B2" s="16" t="str">
        <f>image("https://i.imgur.com/VQL4lPa.png")</f>
        <v/>
      </c>
      <c r="C2" s="20" t="str">
        <f>image("https://pokejungle.net/sprites/normal/"&amp;B1&amp;".png")</f>
        <v/>
      </c>
      <c r="D2" s="16" t="str">
        <f>image("https://i.imgur.com/VQL4lPa.png")</f>
        <v/>
      </c>
      <c r="E2" s="20" t="str">
        <f>image("https://pokejungle.net/sprites/normal/"&amp;D1&amp;".png")</f>
        <v/>
      </c>
      <c r="F2" s="16" t="str">
        <f>image("https://i.imgur.com/N2Wqr43.png")</f>
        <v/>
      </c>
      <c r="G2" s="20" t="str">
        <f>image("https://pokejungle.net/sprites/normal/"&amp;F1&amp;".png")</f>
        <v/>
      </c>
      <c r="H2" s="16" t="str">
        <f>image("https://i.imgur.com/lKAfx6k.png")</f>
        <v/>
      </c>
      <c r="I2" s="20" t="str">
        <f>image("https://pokejungle.net/sprites/normal/"&amp;H1&amp;".png")</f>
        <v/>
      </c>
      <c r="J2" s="16" t="str">
        <f>image("https://i.imgur.com/rJhTvoD.png")</f>
        <v/>
      </c>
      <c r="K2" s="20" t="str">
        <f>image("https://pokejungle.net/sprites/normal/"&amp;J1&amp;".png")</f>
        <v/>
      </c>
      <c r="L2" s="28" t="str">
        <f>image("https://i.imgur.com/rJhTvoD.png")</f>
        <v/>
      </c>
      <c r="M2" s="20" t="str">
        <f>image("https://pokejungle.net/sprites/normal/"&amp;L1&amp;".png")</f>
        <v/>
      </c>
      <c r="N2" s="16" t="str">
        <f>image("https://i.imgur.com/zpybKax.png")</f>
        <v/>
      </c>
      <c r="O2" s="20" t="str">
        <f>image("https://pokejungle.net/sprites/normal/"&amp;N1&amp;".png")</f>
        <v/>
      </c>
      <c r="P2" s="16" t="str">
        <f>image("https://i.imgur.com/zpybKax.png")</f>
        <v/>
      </c>
      <c r="Q2" s="20" t="str">
        <f>image("https://pokejungle.net/sprites/normal/"&amp;P1&amp;".png")</f>
        <v/>
      </c>
      <c r="R2" s="33"/>
    </row>
    <row r="3" ht="26.25" customHeight="1">
      <c r="A3" s="15"/>
      <c r="B3" s="38" t="str">
        <f>image("https://i.imgur.com/XIu6jDl.png")</f>
        <v/>
      </c>
      <c r="C3" s="36"/>
      <c r="D3" s="35" t="str">
        <f>image("https://i.imgur.com/XIu6jDl.png")</f>
        <v/>
      </c>
      <c r="E3" s="36"/>
      <c r="F3" s="35" t="str">
        <f>image("https://i.imgur.com/XIu6jDl.png")</f>
        <v/>
      </c>
      <c r="G3" s="36"/>
      <c r="H3" s="46" t="str">
        <f>image("https://i.imgur.com/0ArMZjJ.png")</f>
        <v/>
      </c>
      <c r="I3" s="36"/>
      <c r="J3" s="38" t="str">
        <f>image("https://i.imgur.com/EkqYYOB.png")</f>
        <v/>
      </c>
      <c r="K3" s="36"/>
      <c r="L3" s="35" t="str">
        <f>image("https://i.imgur.com/EkqYYOB.png")</f>
        <v/>
      </c>
      <c r="M3" s="36"/>
      <c r="N3" s="38" t="str">
        <f>image("https://i.imgur.com/JDgAgAO.png")</f>
        <v/>
      </c>
      <c r="O3" s="36"/>
      <c r="P3" s="38"/>
      <c r="Q3" s="36"/>
      <c r="R3" s="33"/>
    </row>
    <row r="4" ht="26.25" customHeight="1">
      <c r="A4" s="15"/>
      <c r="B4" s="40" t="str">
        <f>image("https://i.imgur.com/lpOVjtL.png")</f>
        <v/>
      </c>
      <c r="C4" s="41"/>
      <c r="D4" s="40" t="str">
        <f>image("https://i.imgur.com/lpOVjtL.png")</f>
        <v/>
      </c>
      <c r="E4" s="41"/>
      <c r="F4" s="40" t="str">
        <f>image("https://i.imgur.com/lpOVjtL.png")</f>
        <v/>
      </c>
      <c r="G4" s="41"/>
      <c r="H4" s="40"/>
      <c r="I4" s="41"/>
      <c r="J4" s="40" t="str">
        <f>image("https://i.imgur.com/RqSOGo6.png")</f>
        <v/>
      </c>
      <c r="K4" s="41"/>
      <c r="L4" s="43" t="str">
        <f>image("https://i.imgur.com/RqSOGo6.png")</f>
        <v/>
      </c>
      <c r="M4" s="41"/>
      <c r="N4" s="40"/>
      <c r="O4" s="41"/>
      <c r="P4" s="40"/>
      <c r="Q4" s="41"/>
      <c r="R4" s="33"/>
    </row>
    <row r="5" ht="26.25" customHeight="1">
      <c r="A5" s="15"/>
      <c r="B5" s="16" t="str">
        <f>image("https://i.imgur.com/VQL4lPa.png")</f>
        <v/>
      </c>
      <c r="C5" s="20" t="str">
        <f>image("https://pokejungle.net/sprites/shiny/"&amp;B1&amp;".png")</f>
        <v/>
      </c>
      <c r="D5" s="16" t="str">
        <f>image("https://i.imgur.com/VQL4lPa.png")</f>
        <v/>
      </c>
      <c r="E5" s="20" t="str">
        <f>image("https://pokejungle.net/sprites/shiny/"&amp;D1&amp;".png")</f>
        <v/>
      </c>
      <c r="F5" s="16" t="str">
        <f>image("https://i.imgur.com/VQL4lPa.png")</f>
        <v/>
      </c>
      <c r="G5" s="20" t="str">
        <f>image("https://pokejungle.net/sprites/shiny/"&amp;F1&amp;".png")</f>
        <v/>
      </c>
      <c r="H5" s="16" t="str">
        <f>image("https://i.imgur.com/lKAfx6k.png")</f>
        <v/>
      </c>
      <c r="I5" s="20" t="str">
        <f>image("https://pokejungle.net/sprites/shiny/"&amp;H1&amp;".png")</f>
        <v/>
      </c>
      <c r="J5" s="16" t="str">
        <f>image("https://i.imgur.com/lKAfx6k.png")</f>
        <v/>
      </c>
      <c r="K5" s="20" t="str">
        <f>image("https://pokejungle.net/sprites/shiny/"&amp;J1&amp;".png")</f>
        <v/>
      </c>
      <c r="L5" s="16" t="str">
        <f>image("https://i.imgur.com/lKAfx6k.png")</f>
        <v/>
      </c>
      <c r="M5" s="20" t="str">
        <f>image("https://pokejungle.net/sprites/shiny/"&amp;L1&amp;".png")</f>
        <v/>
      </c>
      <c r="N5" s="16" t="str">
        <f>image("https://i.imgur.com/SF5CZ6U.png")</f>
        <v/>
      </c>
      <c r="O5" s="20" t="str">
        <f>image("https://pokejungle.net/sprites/shiny/"&amp;N1&amp;".png")</f>
        <v/>
      </c>
      <c r="P5" s="16" t="str">
        <f>image("https://i.imgur.com/SF5CZ6U.png")</f>
        <v/>
      </c>
      <c r="Q5" s="20" t="str">
        <f>image("https://pokejungle.net/sprites/shiny/"&amp;P1&amp;".png")</f>
        <v/>
      </c>
      <c r="R5" s="33"/>
    </row>
    <row r="6" ht="26.25" customHeight="1">
      <c r="A6" s="15"/>
      <c r="B6" s="38" t="str">
        <f>image("https://i.imgur.com/XIu6jDl.png")</f>
        <v/>
      </c>
      <c r="C6" s="36"/>
      <c r="D6" s="46" t="str">
        <f>image("https://i.imgur.com/XIu6jDl.png")</f>
        <v/>
      </c>
      <c r="E6" s="36"/>
      <c r="F6" s="35" t="str">
        <f>image("https://i.imgur.com/XIu6jDl.png")</f>
        <v/>
      </c>
      <c r="G6" s="36"/>
      <c r="H6" s="46" t="str">
        <f>image("https://i.imgur.com/0ArMZjJ.png")</f>
        <v/>
      </c>
      <c r="I6" s="36"/>
      <c r="J6" s="38" t="str">
        <f>image("https://i.imgur.com/0ArMZjJ.png")</f>
        <v/>
      </c>
      <c r="K6" s="36"/>
      <c r="L6" s="46" t="str">
        <f>image("https://i.imgur.com/0ArMZjJ.png")</f>
        <v/>
      </c>
      <c r="M6" s="36"/>
      <c r="N6" s="38" t="str">
        <f>image("https://i.imgur.com/ef1o2lD.png")</f>
        <v/>
      </c>
      <c r="O6" s="36"/>
      <c r="P6" s="38" t="str">
        <f>image("https://i.imgur.com/ef1o2lD.png")</f>
        <v/>
      </c>
      <c r="Q6" s="36"/>
      <c r="R6" s="33"/>
    </row>
    <row r="7" ht="26.25" customHeight="1">
      <c r="A7" s="15"/>
      <c r="B7" s="40" t="str">
        <f>image("https://i.imgur.com/lpOVjtL.png")</f>
        <v/>
      </c>
      <c r="C7" s="41"/>
      <c r="D7" s="40" t="str">
        <f>image("https://i.imgur.com/lpOVjtL.png")</f>
        <v/>
      </c>
      <c r="E7" s="41"/>
      <c r="F7" s="40" t="str">
        <f>image("https://i.imgur.com/lpOVjtL.png")</f>
        <v/>
      </c>
      <c r="G7" s="41"/>
      <c r="H7" s="43"/>
      <c r="I7" s="41"/>
      <c r="J7" s="40" t="str">
        <f>image("https://i.imgur.com/RqSOGo6.png")</f>
        <v/>
      </c>
      <c r="K7" s="41"/>
      <c r="L7" s="40" t="str">
        <f>image("https://i.imgur.com/RqSOGo6.png")</f>
        <v/>
      </c>
      <c r="M7" s="41"/>
      <c r="N7" s="40" t="str">
        <f>image("https://i.imgur.com/rAI9Gyi.png")</f>
        <v/>
      </c>
      <c r="O7" s="41"/>
      <c r="P7" s="40" t="str">
        <f>image("https://i.imgur.com/rAI9Gyi.png")</f>
        <v/>
      </c>
      <c r="Q7" s="41"/>
      <c r="R7" s="33"/>
    </row>
    <row r="8" ht="18.75" customHeight="1">
      <c r="A8" s="6"/>
      <c r="B8" s="8" t="s">
        <v>1378</v>
      </c>
      <c r="C8" s="10" t="s">
        <v>1379</v>
      </c>
      <c r="D8" s="8" t="s">
        <v>1380</v>
      </c>
      <c r="E8" s="10" t="s">
        <v>1381</v>
      </c>
      <c r="F8" s="8" t="s">
        <v>1382</v>
      </c>
      <c r="G8" s="10" t="s">
        <v>1383</v>
      </c>
      <c r="H8" s="8" t="s">
        <v>1384</v>
      </c>
      <c r="I8" s="10" t="s">
        <v>1385</v>
      </c>
      <c r="J8" s="8" t="s">
        <v>1386</v>
      </c>
      <c r="K8" s="10" t="s">
        <v>1387</v>
      </c>
      <c r="L8" s="8" t="s">
        <v>1388</v>
      </c>
      <c r="M8" s="10" t="s">
        <v>1390</v>
      </c>
      <c r="N8" s="8" t="s">
        <v>1391</v>
      </c>
      <c r="O8" s="10" t="s">
        <v>1393</v>
      </c>
      <c r="P8" s="8" t="s">
        <v>1395</v>
      </c>
      <c r="Q8" s="10" t="s">
        <v>1397</v>
      </c>
      <c r="R8" s="14"/>
    </row>
    <row r="9" ht="26.25" customHeight="1">
      <c r="A9" s="15"/>
      <c r="B9" s="16" t="str">
        <f>image("https://i.imgur.com/JDgAgAO.png")</f>
        <v/>
      </c>
      <c r="C9" s="20" t="str">
        <f>image("https://pokejungle.net/sprites/normal/"&amp;B8&amp;".png")</f>
        <v/>
      </c>
      <c r="D9" s="16" t="str">
        <f>image("https://i.imgur.com/XIu6jDl.png")</f>
        <v/>
      </c>
      <c r="E9" s="20" t="str">
        <f>image("https://pokejungle.net/sprites/normal/"&amp;D8&amp;".png")</f>
        <v/>
      </c>
      <c r="F9" s="16" t="str">
        <f>image("https://i.imgur.com/lpOVjtL.png")</f>
        <v/>
      </c>
      <c r="G9" s="20" t="str">
        <f>image("https://pokejungle.net/sprites/normal/"&amp;F8&amp;".png")</f>
        <v/>
      </c>
      <c r="H9" s="24" t="str">
        <f>image("https://i.imgur.com/SF5CZ6U.png")</f>
        <v/>
      </c>
      <c r="I9" s="20" t="str">
        <f>image("https://pokejungle.net/sprites/normal/"&amp;H8&amp;".png")</f>
        <v/>
      </c>
      <c r="J9" s="16" t="str">
        <f>image("https://i.imgur.com/SF5CZ6U.png")</f>
        <v/>
      </c>
      <c r="K9" s="20" t="str">
        <f>image("https://pokejungle.net/sprites/normal/"&amp;J8&amp;".png")</f>
        <v/>
      </c>
      <c r="L9" s="28" t="str">
        <f>image("https://i.imgur.com/EkqYYOB.png")</f>
        <v/>
      </c>
      <c r="M9" s="20" t="str">
        <f>image("https://pokejungle.net/sprites/normal/"&amp;L8&amp;".png")</f>
        <v/>
      </c>
      <c r="N9" s="16" t="str">
        <f>image("https://i.imgur.com/beHgI95.png")</f>
        <v/>
      </c>
      <c r="O9" s="20" t="str">
        <f>image("https://pokejungle.net/sprites/normal/"&amp;N8&amp;".png")</f>
        <v/>
      </c>
      <c r="P9" s="16" t="str">
        <f>image("https://i.imgur.com/zpybKax.png")</f>
        <v/>
      </c>
      <c r="Q9" s="20" t="str">
        <f>image("https://pokejungle.net/sprites/normal/"&amp;P8&amp;".png")</f>
        <v/>
      </c>
      <c r="R9" s="33"/>
    </row>
    <row r="10" ht="26.25" customHeight="1">
      <c r="A10" s="15"/>
      <c r="B10" s="38" t="str">
        <f>image("https://i.imgur.com/zpybKax.png")</f>
        <v/>
      </c>
      <c r="C10" s="36"/>
      <c r="D10" s="35" t="str">
        <f>image("https://i.imgur.com/lpOVjtL.png")</f>
        <v/>
      </c>
      <c r="E10" s="36"/>
      <c r="F10" s="35" t="str">
        <f>image("https://i.imgur.com/XIu6jDl.png")</f>
        <v/>
      </c>
      <c r="G10" s="36"/>
      <c r="H10" s="37" t="str">
        <f>image("https://i.imgur.com/JDgAgAO.png")</f>
        <v/>
      </c>
      <c r="I10" s="36"/>
      <c r="J10" s="38" t="str">
        <f>image("https://i.imgur.com/JDgAgAO.png")</f>
        <v/>
      </c>
      <c r="K10" s="36"/>
      <c r="L10" s="35" t="str">
        <f>image("https://i.imgur.com/JDgAgAO.png")</f>
        <v/>
      </c>
      <c r="M10" s="36"/>
      <c r="N10" s="38" t="str">
        <f>image("https://i.imgur.com/zpybKax.png")</f>
        <v/>
      </c>
      <c r="O10" s="36"/>
      <c r="P10" s="38" t="str">
        <f>image("https://i.imgur.com/beHgI95.png")</f>
        <v/>
      </c>
      <c r="Q10" s="36"/>
      <c r="R10" s="33"/>
    </row>
    <row r="11" ht="26.25" customHeight="1">
      <c r="A11" s="15"/>
      <c r="B11" s="40" t="str">
        <f>image("https://i.imgur.com/beHgI95.png")</f>
        <v/>
      </c>
      <c r="C11" s="41"/>
      <c r="D11" s="40"/>
      <c r="E11" s="41"/>
      <c r="F11" s="40"/>
      <c r="G11" s="41"/>
      <c r="H11" s="40" t="str">
        <f>image("https://i.imgur.com/zpybKax.png")</f>
        <v/>
      </c>
      <c r="I11" s="41"/>
      <c r="J11" s="40"/>
      <c r="K11" s="41"/>
      <c r="L11" s="43" t="str">
        <f>image("https://i.imgur.com/N2Wqr43.png")</f>
        <v/>
      </c>
      <c r="M11" s="41"/>
      <c r="N11" s="40"/>
      <c r="O11" s="41"/>
      <c r="P11" s="40"/>
      <c r="Q11" s="41"/>
      <c r="R11" s="33"/>
    </row>
    <row r="12" ht="26.25" customHeight="1">
      <c r="A12" s="15"/>
      <c r="B12" s="16" t="str">
        <f>image("https://i.imgur.com/SF5CZ6U.png")</f>
        <v/>
      </c>
      <c r="C12" s="20" t="str">
        <f>image("https://pokejungle.net/sprites/shiny/"&amp;B8&amp;".png")</f>
        <v/>
      </c>
      <c r="D12" s="16" t="str">
        <f>image("https://i.imgur.com/a9HBljD.png")</f>
        <v/>
      </c>
      <c r="E12" s="20" t="str">
        <f>image("https://pokejungle.net/sprites/shiny/"&amp;D8&amp;".png")</f>
        <v/>
      </c>
      <c r="F12" s="16" t="str">
        <f>image("https://i.imgur.com/a9HBljD.png")</f>
        <v/>
      </c>
      <c r="G12" s="20" t="str">
        <f>image("https://pokejungle.net/sprites/shiny/"&amp;F8&amp;".png")</f>
        <v/>
      </c>
      <c r="H12" s="16" t="str">
        <f>image("https://i.imgur.com/EkqYYOB.png")</f>
        <v/>
      </c>
      <c r="I12" s="20" t="str">
        <f>image("https://pokejungle.net/sprites/shiny/"&amp;H8&amp;".png")</f>
        <v/>
      </c>
      <c r="J12" s="16" t="str">
        <f>image("https://i.imgur.com/EkqYYOB.png")</f>
        <v/>
      </c>
      <c r="K12" s="20" t="str">
        <f>image("https://pokejungle.net/sprites/shiny/"&amp;J8&amp;".png")</f>
        <v/>
      </c>
      <c r="L12" s="16" t="str">
        <f>image("https://i.imgur.com/EkqYYOB.png")</f>
        <v/>
      </c>
      <c r="M12" s="20" t="str">
        <f>image("https://pokejungle.net/sprites/shiny/"&amp;L8&amp;".png")</f>
        <v/>
      </c>
      <c r="N12" s="16" t="str">
        <f>image("https://i.imgur.com/beHgI95.png")</f>
        <v/>
      </c>
      <c r="O12" s="20" t="str">
        <f>image("https://pokejungle.net/sprites/shiny/"&amp;N8&amp;".png")</f>
        <v/>
      </c>
      <c r="P12" s="16" t="str">
        <f>image("https://i.imgur.com/zpybKax.png")</f>
        <v/>
      </c>
      <c r="Q12" s="20" t="str">
        <f>image("https://pokejungle.net/sprites/shiny/"&amp;P8&amp;".png")</f>
        <v/>
      </c>
      <c r="R12" s="33"/>
    </row>
    <row r="13" ht="26.25" customHeight="1">
      <c r="A13" s="15"/>
      <c r="B13" s="38" t="str">
        <f>image("https://i.imgur.com/ef1o2lD.png")</f>
        <v/>
      </c>
      <c r="C13" s="36"/>
      <c r="D13" s="46" t="str">
        <f>image("https://i.imgur.com/rAI9Gyi.png")</f>
        <v/>
      </c>
      <c r="E13" s="36"/>
      <c r="F13" s="35" t="str">
        <f>image("https://i.imgur.com/rAI9Gyi.png")</f>
        <v/>
      </c>
      <c r="G13" s="36"/>
      <c r="H13" s="38" t="str">
        <f>image("https://i.imgur.com/rJhTvoD.png")</f>
        <v/>
      </c>
      <c r="I13" s="36"/>
      <c r="J13" s="38" t="str">
        <f>image("https://i.imgur.com/rJhTvoD.png")</f>
        <v/>
      </c>
      <c r="K13" s="36"/>
      <c r="L13" s="46" t="str">
        <f>image("https://i.imgur.com/NkILW1J.png")</f>
        <v/>
      </c>
      <c r="M13" s="36"/>
      <c r="N13" s="38" t="str">
        <f>image("https://i.imgur.com/zpybKax.png")</f>
        <v/>
      </c>
      <c r="O13" s="36"/>
      <c r="P13" s="38" t="str">
        <f>image("https://i.imgur.com/beHgI95.png")</f>
        <v/>
      </c>
      <c r="Q13" s="36"/>
      <c r="R13" s="33"/>
    </row>
    <row r="14" ht="26.25" customHeight="1">
      <c r="A14" s="15"/>
      <c r="B14" s="40" t="str">
        <f>image("https://i.imgur.com/rAI9Gyi.png")</f>
        <v/>
      </c>
      <c r="C14" s="41"/>
      <c r="D14" s="43"/>
      <c r="E14" s="41"/>
      <c r="F14" s="40"/>
      <c r="G14" s="41"/>
      <c r="H14" s="43"/>
      <c r="I14" s="41"/>
      <c r="J14" s="40" t="str">
        <f>image("https://i.imgur.com/NkILW1J.png")</f>
        <v/>
      </c>
      <c r="K14" s="41"/>
      <c r="L14" s="43" t="str">
        <f>image("https://i.imgur.com/rJhTvoD.png")</f>
        <v/>
      </c>
      <c r="M14" s="41"/>
      <c r="N14" s="40"/>
      <c r="O14" s="41"/>
      <c r="P14" s="40"/>
      <c r="Q14" s="41"/>
      <c r="R14" s="33"/>
    </row>
    <row r="15" ht="18.75" customHeight="1">
      <c r="A15" s="6"/>
      <c r="B15" s="8" t="s">
        <v>1439</v>
      </c>
      <c r="C15" s="10" t="s">
        <v>1440</v>
      </c>
      <c r="D15" s="8" t="s">
        <v>1441</v>
      </c>
      <c r="E15" s="10" t="s">
        <v>1442</v>
      </c>
      <c r="F15" s="8" t="s">
        <v>1443</v>
      </c>
      <c r="G15" s="10" t="s">
        <v>1444</v>
      </c>
      <c r="H15" s="8" t="s">
        <v>1445</v>
      </c>
      <c r="I15" s="10" t="s">
        <v>1446</v>
      </c>
      <c r="J15" s="8" t="s">
        <v>1447</v>
      </c>
      <c r="K15" s="10" t="s">
        <v>1448</v>
      </c>
      <c r="L15" s="8" t="s">
        <v>1449</v>
      </c>
      <c r="M15" s="10" t="s">
        <v>1450</v>
      </c>
      <c r="N15" s="8" t="s">
        <v>1451</v>
      </c>
      <c r="O15" s="10" t="s">
        <v>1452</v>
      </c>
      <c r="P15" s="8" t="s">
        <v>1453</v>
      </c>
      <c r="Q15" s="10" t="s">
        <v>1455</v>
      </c>
      <c r="R15" s="14"/>
    </row>
    <row r="16" ht="26.25" customHeight="1">
      <c r="A16" s="15"/>
      <c r="B16" s="16" t="str">
        <f>image("https://i.imgur.com/rJhTvoD.png")</f>
        <v/>
      </c>
      <c r="C16" s="20" t="str">
        <f>image("https://pokejungle.net/sprites/normal/"&amp;B15&amp;".png")</f>
        <v/>
      </c>
      <c r="D16" s="16" t="str">
        <f>image("https://i.imgur.com/EkqYYOB.png")</f>
        <v/>
      </c>
      <c r="E16" s="20" t="str">
        <f>image("https://pokejungle.net/sprites/normal/"&amp;D15&amp;".png")</f>
        <v/>
      </c>
      <c r="F16" s="16" t="str">
        <f>image("https://i.imgur.com/EkqYYOB.png")</f>
        <v/>
      </c>
      <c r="G16" s="20" t="str">
        <f>image("https://pokejungle.net/sprites/normal/"&amp;F15&amp;".png")</f>
        <v/>
      </c>
      <c r="H16" s="24" t="str">
        <f>image("https://i.imgur.com/RqSOGo6.png")</f>
        <v/>
      </c>
      <c r="I16" s="20" t="str">
        <f>image("https://pokejungle.net/sprites/normal/"&amp;H15&amp;".png")</f>
        <v/>
      </c>
      <c r="J16" s="16" t="str">
        <f>image("https://i.imgur.com/XIu6jDl.png")</f>
        <v/>
      </c>
      <c r="K16" s="20" t="str">
        <f>image("https://pokejungle.net/sprites/normal/"&amp;J15&amp;".png")</f>
        <v/>
      </c>
      <c r="L16" s="28" t="str">
        <f>image("https://i.imgur.com/0ArMZjJ.png")</f>
        <v/>
      </c>
      <c r="M16" s="20" t="str">
        <f>image("https://pokejungle.net/sprites/normal/"&amp;L15&amp;".png")</f>
        <v/>
      </c>
      <c r="N16" s="16" t="str">
        <f>image("https://i.imgur.com/0ArMZjJ.png")</f>
        <v/>
      </c>
      <c r="O16" s="20" t="str">
        <f>image("https://pokejungle.net/sprites/normal/"&amp;N15&amp;".png")</f>
        <v/>
      </c>
      <c r="P16" s="16" t="str">
        <f>image("https://i.imgur.com/zpybKax.png")</f>
        <v/>
      </c>
      <c r="Q16" s="20" t="str">
        <f>image("https://pokejungle.net/sprites/normal/"&amp;P15&amp;".png")</f>
        <v/>
      </c>
      <c r="R16" s="33"/>
    </row>
    <row r="17" ht="26.25" customHeight="1">
      <c r="A17" s="15"/>
      <c r="B17" s="38" t="str">
        <f>image("https://i.imgur.com/SF5CZ6U.png")</f>
        <v/>
      </c>
      <c r="C17" s="36"/>
      <c r="D17" s="38" t="str">
        <f>image("https://i.imgur.com/RqSOGo6.png")</f>
        <v/>
      </c>
      <c r="E17" s="36"/>
      <c r="F17" s="38" t="str">
        <f>image("https://i.imgur.com/RqSOGo6.png")</f>
        <v/>
      </c>
      <c r="G17" s="36"/>
      <c r="H17" s="37" t="str">
        <f>image("https://i.imgur.com/lKAfx6k.png")</f>
        <v/>
      </c>
      <c r="I17" s="36"/>
      <c r="J17" s="38" t="str">
        <f>image("https://i.imgur.com/0ArMZjJ.png")</f>
        <v/>
      </c>
      <c r="K17" s="36"/>
      <c r="L17" s="38" t="str">
        <f>image("https://i.imgur.com/beHgI95.png")</f>
        <v/>
      </c>
      <c r="M17" s="36"/>
      <c r="N17" s="38" t="str">
        <f>image("https://i.imgur.com/beHgI95.png")</f>
        <v/>
      </c>
      <c r="O17" s="36"/>
      <c r="P17" s="38" t="str">
        <f>image("https://i.imgur.com/ef1o2lD.png")</f>
        <v/>
      </c>
      <c r="Q17" s="36"/>
      <c r="R17" s="33"/>
    </row>
    <row r="18" ht="26.25" customHeight="1">
      <c r="A18" s="15"/>
      <c r="B18" s="40" t="str">
        <f>image("https://i.imgur.com/beHgI95.png")</f>
        <v/>
      </c>
      <c r="C18" s="41"/>
      <c r="D18" s="40" t="str">
        <f>image("https://i.imgur.com/lpOVjtL.png")</f>
        <v/>
      </c>
      <c r="E18" s="41"/>
      <c r="F18" s="40" t="str">
        <f>image("https://i.imgur.com/lpOVjtL.png")</f>
        <v/>
      </c>
      <c r="G18" s="41"/>
      <c r="H18" s="43" t="str">
        <f>image("https://i.imgur.com/rJhTvoD.png")</f>
        <v/>
      </c>
      <c r="I18" s="41"/>
      <c r="J18" s="40" t="str">
        <f>image("https://i.imgur.com/VQL4lPa.png")</f>
        <v/>
      </c>
      <c r="K18" s="41"/>
      <c r="L18" s="43"/>
      <c r="M18" s="41"/>
      <c r="N18" s="40" t="str">
        <f>image("https://i.imgur.com/NkILW1J.png")</f>
        <v/>
      </c>
      <c r="O18" s="41"/>
      <c r="P18" s="40" t="str">
        <f>image("https://i.imgur.com/JDgAgAO.png")</f>
        <v/>
      </c>
      <c r="Q18" s="41"/>
      <c r="R18" s="33"/>
    </row>
    <row r="19" ht="26.25" customHeight="1">
      <c r="A19" s="15"/>
      <c r="B19" s="16" t="str">
        <f>image("https://i.imgur.com/XI18XGu.png")</f>
        <v/>
      </c>
      <c r="C19" s="20" t="str">
        <f>image("https://pokejungle.net/sprites/shiny/"&amp;B15&amp;".png")</f>
        <v/>
      </c>
      <c r="D19" s="16" t="str">
        <f>image("https://i.imgur.com/JDgAgAO.png")</f>
        <v/>
      </c>
      <c r="E19" s="20" t="str">
        <f>image("https://pokejungle.net/sprites/shiny/"&amp;D15&amp;".png")</f>
        <v/>
      </c>
      <c r="F19" s="16" t="str">
        <f>image("https://i.imgur.com/JDgAgAO.png")</f>
        <v/>
      </c>
      <c r="G19" s="20" t="str">
        <f>image("https://pokejungle.net/sprites/shiny/"&amp;F15&amp;".png")</f>
        <v/>
      </c>
      <c r="H19" s="16" t="str">
        <f>image("https://i.imgur.com/a9HBljD.png")</f>
        <v/>
      </c>
      <c r="I19" s="20" t="str">
        <f>image("https://pokejungle.net/sprites/shiny/"&amp;H15&amp;".png")</f>
        <v/>
      </c>
      <c r="J19" s="16" t="str">
        <f>image("https://i.imgur.com/0ArMZjJ.png")</f>
        <v/>
      </c>
      <c r="K19" s="20" t="str">
        <f>image("https://pokejungle.net/sprites/shiny/"&amp;J15&amp;".png")</f>
        <v/>
      </c>
      <c r="L19" s="16" t="str">
        <f>image("https://i.imgur.com/EkqYYOB.png")</f>
        <v/>
      </c>
      <c r="M19" s="20" t="str">
        <f>image("https://pokejungle.net/sprites/shiny/"&amp;L15&amp;".png")</f>
        <v/>
      </c>
      <c r="N19" s="16" t="str">
        <f>image("https://i.imgur.com/EkqYYOB.png")</f>
        <v/>
      </c>
      <c r="O19" s="20" t="str">
        <f>image("https://pokejungle.net/sprites/shiny/"&amp;N15&amp;".png")</f>
        <v/>
      </c>
      <c r="P19" s="16" t="str">
        <f>image("https://i.imgur.com/VQL4lPa.png")</f>
        <v/>
      </c>
      <c r="Q19" s="20" t="str">
        <f>image("https://pokejungle.net/sprites/shiny/"&amp;P15&amp;".png")</f>
        <v/>
      </c>
      <c r="R19" s="33"/>
    </row>
    <row r="20" ht="26.25" customHeight="1">
      <c r="A20" s="15"/>
      <c r="B20" s="38" t="str">
        <f>image("https://i.imgur.com/SF5CZ6U.png")</f>
        <v/>
      </c>
      <c r="C20" s="36"/>
      <c r="D20" s="46" t="str">
        <f>image("https://i.imgur.com/NkILW1J.png")</f>
        <v/>
      </c>
      <c r="E20" s="36"/>
      <c r="F20" s="35" t="str">
        <f>image("https://i.imgur.com/NkILW1J.png")</f>
        <v/>
      </c>
      <c r="G20" s="36"/>
      <c r="H20" s="46" t="str">
        <f>image("https://i.imgur.com/0ArMZjJ.png")</f>
        <v/>
      </c>
      <c r="I20" s="36"/>
      <c r="J20" s="38" t="str">
        <f>image("https://i.imgur.com/a9HBljD.png")</f>
        <v/>
      </c>
      <c r="K20" s="36"/>
      <c r="L20" s="38" t="str">
        <f>image("https://i.imgur.com/beHgI95.png")</f>
        <v/>
      </c>
      <c r="M20" s="36"/>
      <c r="N20" s="38" t="str">
        <f>image("https://i.imgur.com/beHgI95.png")</f>
        <v/>
      </c>
      <c r="O20" s="36"/>
      <c r="P20" s="38" t="str">
        <f>image("https://i.imgur.com/XIu6jDl.png")</f>
        <v/>
      </c>
      <c r="Q20" s="36"/>
      <c r="R20" s="33"/>
    </row>
    <row r="21" ht="26.25" customHeight="1">
      <c r="A21" s="15"/>
      <c r="B21" s="40" t="str">
        <f>image("https://i.imgur.com/nNTmuH8.png")</f>
        <v/>
      </c>
      <c r="C21" s="41"/>
      <c r="D21" s="40" t="str">
        <f>image("https://i.imgur.com/XzidFHI.png")</f>
        <v/>
      </c>
      <c r="E21" s="41"/>
      <c r="F21" s="40" t="str">
        <f>image("https://i.imgur.com/XzidFHI.png")</f>
        <v/>
      </c>
      <c r="G21" s="41"/>
      <c r="H21" s="43" t="str">
        <f>image("https://i.imgur.com/rAI9Gyi.png")</f>
        <v/>
      </c>
      <c r="I21" s="41"/>
      <c r="J21" s="40" t="str">
        <f>image("https://i.imgur.com/rAI9Gyi.png")</f>
        <v/>
      </c>
      <c r="K21" s="41"/>
      <c r="L21" s="43"/>
      <c r="M21" s="41"/>
      <c r="N21" s="40" t="str">
        <f>image("https://i.imgur.com/NkILW1J.png")</f>
        <v/>
      </c>
      <c r="O21" s="41"/>
      <c r="P21" s="40" t="str">
        <f>image("https://i.imgur.com/lpOVjtL.png")</f>
        <v/>
      </c>
      <c r="Q21" s="41"/>
      <c r="R21" s="33"/>
    </row>
    <row r="22" ht="18.75" customHeight="1">
      <c r="A22" s="6"/>
      <c r="B22" s="8" t="s">
        <v>1505</v>
      </c>
      <c r="C22" s="10" t="s">
        <v>1506</v>
      </c>
      <c r="D22" s="8" t="s">
        <v>1507</v>
      </c>
      <c r="E22" s="10" t="s">
        <v>1508</v>
      </c>
      <c r="F22" s="8" t="s">
        <v>1509</v>
      </c>
      <c r="G22" s="10" t="s">
        <v>1510</v>
      </c>
      <c r="H22" s="8" t="s">
        <v>1511</v>
      </c>
      <c r="I22" s="10" t="s">
        <v>1512</v>
      </c>
      <c r="J22" s="8" t="s">
        <v>1513</v>
      </c>
      <c r="K22" s="10" t="s">
        <v>1514</v>
      </c>
      <c r="L22" s="8" t="s">
        <v>1515</v>
      </c>
      <c r="M22" s="10" t="s">
        <v>1516</v>
      </c>
      <c r="N22" s="8" t="s">
        <v>1517</v>
      </c>
      <c r="O22" s="10" t="s">
        <v>1518</v>
      </c>
      <c r="P22" s="8" t="s">
        <v>1519</v>
      </c>
      <c r="Q22" s="10" t="s">
        <v>1520</v>
      </c>
      <c r="R22" s="14"/>
    </row>
    <row r="23" ht="26.25" customHeight="1">
      <c r="A23" s="15"/>
      <c r="B23" s="16" t="str">
        <f>image("https://i.imgur.com/zpybKax.png")</f>
        <v/>
      </c>
      <c r="C23" s="20" t="str">
        <f>image("https://pokejungle.net/sprites/normal/"&amp;B22&amp;".png")</f>
        <v/>
      </c>
      <c r="D23" s="28" t="str">
        <f>image("https://i.imgur.com/rJhTvoD.png")</f>
        <v/>
      </c>
      <c r="E23" s="20" t="str">
        <f>image("https://pokejungle.net/sprites/normal/"&amp;D22&amp;".png")</f>
        <v/>
      </c>
      <c r="F23" s="28" t="str">
        <f>image("https://i.imgur.com/rJhTvoD.png")</f>
        <v/>
      </c>
      <c r="G23" s="20" t="str">
        <f>image("https://pokejungle.net/sprites/normal/"&amp;F22&amp;".png")</f>
        <v/>
      </c>
      <c r="H23" s="24" t="str">
        <f>image("https://i.imgur.com/EkqYYOB.png")</f>
        <v/>
      </c>
      <c r="I23" s="20" t="str">
        <f>image("https://pokejungle.net/sprites/normal/"&amp;H22&amp;".png")</f>
        <v/>
      </c>
      <c r="J23" s="16" t="str">
        <f>image("https://i.imgur.com/EkqYYOB.png")</f>
        <v/>
      </c>
      <c r="K23" s="20" t="str">
        <f>image("https://pokejungle.net/sprites/normal/"&amp;J22&amp;".png")</f>
        <v/>
      </c>
      <c r="L23" s="28" t="str">
        <f>image("https://i.imgur.com/EkqYYOB.png")</f>
        <v/>
      </c>
      <c r="M23" s="20" t="str">
        <f>image("https://pokejungle.net/sprites/normal/"&amp;L22&amp;".png")</f>
        <v/>
      </c>
      <c r="N23" s="16" t="str">
        <f>image("https://i.imgur.com/GyNf8BH.png")</f>
        <v/>
      </c>
      <c r="O23" s="20" t="str">
        <f>image("https://pokejungle.net/sprites/normal/"&amp;N22&amp;".png")</f>
        <v/>
      </c>
      <c r="P23" s="16" t="str">
        <f>image("https://i.imgur.com/GyNf8BH.png")</f>
        <v/>
      </c>
      <c r="Q23" s="20" t="str">
        <f>image("https://pokejungle.net/sprites/normal/"&amp;P22&amp;".png")</f>
        <v/>
      </c>
      <c r="R23" s="33"/>
    </row>
    <row r="24" ht="26.25" customHeight="1">
      <c r="A24" s="15"/>
      <c r="B24" s="38" t="str">
        <f>image("https://i.imgur.com/ef1o2lD.png")</f>
        <v/>
      </c>
      <c r="C24" s="36"/>
      <c r="D24" s="38" t="str">
        <f>image("https://i.imgur.com/beHgI95.png")</f>
        <v/>
      </c>
      <c r="E24" s="36"/>
      <c r="F24" s="38" t="str">
        <f>image("https://i.imgur.com/beHgI95.png")</f>
        <v/>
      </c>
      <c r="G24" s="36"/>
      <c r="H24" s="38" t="str">
        <f>image("https://i.imgur.com/RqSOGo6.png")</f>
        <v/>
      </c>
      <c r="I24" s="36"/>
      <c r="J24" s="38" t="str">
        <f>image("https://i.imgur.com/RqSOGo6.png")</f>
        <v/>
      </c>
      <c r="K24" s="36"/>
      <c r="L24" s="38" t="str">
        <f>image("https://i.imgur.com/RqSOGo6.png")</f>
        <v/>
      </c>
      <c r="M24" s="36"/>
      <c r="N24" s="38" t="str">
        <f>image("https://i.imgur.com/VQL4lPa.png")</f>
        <v/>
      </c>
      <c r="O24" s="36"/>
      <c r="P24" s="38" t="str">
        <f>image("https://i.imgur.com/VQL4lPa.png")</f>
        <v/>
      </c>
      <c r="Q24" s="36"/>
      <c r="R24" s="33"/>
    </row>
    <row r="25" ht="26.25" customHeight="1">
      <c r="A25" s="15"/>
      <c r="B25" s="40" t="str">
        <f>image("https://i.imgur.com/JDgAgAO.png")</f>
        <v/>
      </c>
      <c r="C25" s="41"/>
      <c r="D25" s="40"/>
      <c r="E25" s="41"/>
      <c r="F25" s="40"/>
      <c r="G25" s="41"/>
      <c r="H25" s="40" t="str">
        <f>image("https://i.imgur.com/beHgI95.png")</f>
        <v/>
      </c>
      <c r="I25" s="41"/>
      <c r="J25" s="40" t="str">
        <f>image("https://i.imgur.com/beHgI95.png")</f>
        <v/>
      </c>
      <c r="K25" s="41"/>
      <c r="L25" s="40" t="str">
        <f>image("https://i.imgur.com/beHgI95.png")</f>
        <v/>
      </c>
      <c r="M25" s="41"/>
      <c r="N25" s="40" t="str">
        <f>image("https://i.imgur.com/bxys1sd.png")</f>
        <v/>
      </c>
      <c r="O25" s="41"/>
      <c r="P25" s="40" t="str">
        <f>image("https://i.imgur.com/bxys1sd.png")</f>
        <v/>
      </c>
      <c r="Q25" s="41"/>
      <c r="R25" s="33"/>
    </row>
    <row r="26" ht="26.25" customHeight="1">
      <c r="A26" s="15"/>
      <c r="B26" s="16" t="str">
        <f>image("https://i.imgur.com/VQL4lPa.png")</f>
        <v/>
      </c>
      <c r="C26" s="20" t="str">
        <f>image("https://pokejungle.net/sprites/shiny/"&amp;B22&amp;".png")</f>
        <v/>
      </c>
      <c r="D26" s="28" t="str">
        <f>image("https://i.imgur.com/rJhTvoD.png")</f>
        <v/>
      </c>
      <c r="E26" s="20" t="str">
        <f>image("https://pokejungle.net/sprites/shiny/"&amp;D22&amp;".png")</f>
        <v/>
      </c>
      <c r="F26" s="28" t="str">
        <f>image("https://i.imgur.com/rJhTvoD.png")</f>
        <v/>
      </c>
      <c r="G26" s="20" t="str">
        <f>image("https://pokejungle.net/sprites/shiny/"&amp;F22&amp;".png")</f>
        <v/>
      </c>
      <c r="H26" s="16" t="str">
        <f>image("https://i.imgur.com/NkILW1J.png")</f>
        <v/>
      </c>
      <c r="I26" s="20" t="str">
        <f>image("https://pokejungle.net/sprites/shiny/"&amp;H22&amp;".png")</f>
        <v/>
      </c>
      <c r="J26" s="16" t="str">
        <f>image("https://i.imgur.com/NkILW1J.png")</f>
        <v/>
      </c>
      <c r="K26" s="20" t="str">
        <f>image("https://pokejungle.net/sprites/shiny/"&amp;J22&amp;".png")</f>
        <v/>
      </c>
      <c r="L26" s="16" t="str">
        <f>image("https://i.imgur.com/NkILW1J.png")</f>
        <v/>
      </c>
      <c r="M26" s="20" t="str">
        <f>image("https://pokejungle.net/sprites/shiny/"&amp;L22&amp;".png")</f>
        <v/>
      </c>
      <c r="N26" s="16" t="str">
        <f>image("https://i.imgur.com/XIu6jDl.png")</f>
        <v/>
      </c>
      <c r="O26" s="20" t="str">
        <f>image("https://pokejungle.net/sprites/shiny/"&amp;N22&amp;".png")</f>
        <v/>
      </c>
      <c r="P26" s="16" t="str">
        <f>image("https://i.imgur.com/XIu6jDl.png")</f>
        <v/>
      </c>
      <c r="Q26" s="20" t="str">
        <f>image("https://pokejungle.net/sprites/shiny/"&amp;P22&amp;".png")</f>
        <v/>
      </c>
      <c r="R26" s="33"/>
    </row>
    <row r="27" ht="26.25" customHeight="1">
      <c r="A27" s="15"/>
      <c r="B27" s="38" t="str">
        <f>image("https://i.imgur.com/XIu6jDl.png")</f>
        <v/>
      </c>
      <c r="C27" s="36"/>
      <c r="D27" s="38" t="str">
        <f>image("https://i.imgur.com/beHgI95.png")</f>
        <v/>
      </c>
      <c r="E27" s="36"/>
      <c r="F27" s="38" t="str">
        <f>image("https://i.imgur.com/beHgI95.png")</f>
        <v/>
      </c>
      <c r="G27" s="36"/>
      <c r="H27" s="46" t="str">
        <f>image("https://i.imgur.com/XzidFHI.png")</f>
        <v/>
      </c>
      <c r="I27" s="36"/>
      <c r="J27" s="38" t="str">
        <f>image("https://i.imgur.com/XzidFHI.png")</f>
        <v/>
      </c>
      <c r="K27" s="36"/>
      <c r="L27" s="46" t="str">
        <f>image("https://i.imgur.com/XzidFHI.png")</f>
        <v/>
      </c>
      <c r="M27" s="36"/>
      <c r="N27" s="38" t="str">
        <f>image("https://i.imgur.com/VQL4lPa.png")</f>
        <v/>
      </c>
      <c r="O27" s="36"/>
      <c r="P27" s="38" t="str">
        <f>image("https://i.imgur.com/VQL4lPa.png")</f>
        <v/>
      </c>
      <c r="Q27" s="36"/>
      <c r="R27" s="33"/>
    </row>
    <row r="28" ht="26.25" customHeight="1">
      <c r="A28" s="15"/>
      <c r="B28" s="40" t="str">
        <f>image("https://i.imgur.com/lpOVjtL.png")</f>
        <v/>
      </c>
      <c r="C28" s="41"/>
      <c r="D28" s="43" t="str">
        <f>image("https://i.imgur.com/rAI9Gyi.png")</f>
        <v/>
      </c>
      <c r="E28" s="41"/>
      <c r="F28" s="40" t="str">
        <f>image("https://i.imgur.com/RqSOGo6.png")</f>
        <v/>
      </c>
      <c r="G28" s="41"/>
      <c r="H28" s="43" t="str">
        <f>image("https://i.imgur.com/EkqYYOB.png")</f>
        <v/>
      </c>
      <c r="I28" s="41"/>
      <c r="J28" s="40" t="str">
        <f>image("https://i.imgur.com/EkqYYOB.png")</f>
        <v/>
      </c>
      <c r="K28" s="41"/>
      <c r="L28" s="43" t="str">
        <f>image("https://i.imgur.com/EkqYYOB.png")</f>
        <v/>
      </c>
      <c r="M28" s="41"/>
      <c r="N28" s="40" t="str">
        <f>image("https://i.imgur.com/lpOVjtL.png")</f>
        <v/>
      </c>
      <c r="O28" s="41"/>
      <c r="P28" s="40" t="str">
        <f>image("https://i.imgur.com/lpOVjtL.png")</f>
        <v/>
      </c>
      <c r="Q28" s="41"/>
      <c r="R28" s="33"/>
    </row>
    <row r="29" ht="18.75" customHeight="1">
      <c r="A29" s="6"/>
      <c r="B29" s="8" t="s">
        <v>1542</v>
      </c>
      <c r="C29" s="10" t="s">
        <v>1543</v>
      </c>
      <c r="D29" s="8" t="s">
        <v>1545</v>
      </c>
      <c r="E29" s="10" t="s">
        <v>1547</v>
      </c>
      <c r="F29" s="8" t="s">
        <v>1548</v>
      </c>
      <c r="G29" s="10" t="s">
        <v>1550</v>
      </c>
      <c r="H29" s="8" t="s">
        <v>1552</v>
      </c>
      <c r="I29" s="10" t="s">
        <v>1553</v>
      </c>
      <c r="J29" s="8" t="s">
        <v>1555</v>
      </c>
      <c r="K29" s="10" t="s">
        <v>1556</v>
      </c>
      <c r="L29" s="8" t="s">
        <v>1558</v>
      </c>
      <c r="M29" s="10" t="s">
        <v>1560</v>
      </c>
      <c r="N29" s="8" t="s">
        <v>1562</v>
      </c>
      <c r="O29" s="10" t="s">
        <v>1564</v>
      </c>
      <c r="P29" s="8" t="s">
        <v>1566</v>
      </c>
      <c r="Q29" s="68" t="s">
        <v>1568</v>
      </c>
      <c r="R29" s="14"/>
    </row>
    <row r="30" ht="26.25" customHeight="1">
      <c r="A30" s="15"/>
      <c r="B30" s="16" t="str">
        <f>image("https://i.imgur.com/VQL4lPa.png")</f>
        <v/>
      </c>
      <c r="C30" s="20" t="str">
        <f>image("https://pokejungle.net/sprites/normal/"&amp;B29&amp;".png")</f>
        <v/>
      </c>
      <c r="D30" s="16" t="str">
        <f>image("https://i.imgur.com/lpOVjtL.png")</f>
        <v/>
      </c>
      <c r="E30" s="20" t="str">
        <f>image("https://pokejungle.net/sprites/normal/"&amp;D29&amp;".png")</f>
        <v/>
      </c>
      <c r="F30" s="16" t="str">
        <f>image("https://i.imgur.com/lpOVjtL.png")</f>
        <v/>
      </c>
      <c r="G30" s="20" t="str">
        <f>image("https://pokejungle.net/sprites/normal/"&amp;F29&amp;".png")</f>
        <v/>
      </c>
      <c r="H30" s="24" t="str">
        <f>image("https://i.imgur.com/XNzvO0H.png")</f>
        <v/>
      </c>
      <c r="I30" s="20" t="str">
        <f>image("https://pokejungle.net/sprites/normal/"&amp;H29&amp;".png")</f>
        <v/>
      </c>
      <c r="J30" s="16" t="str">
        <f>image("https://i.imgur.com/rJhTvoD.png")</f>
        <v/>
      </c>
      <c r="K30" s="20" t="str">
        <f>image("https://pokejungle.net/sprites/normal/"&amp;J29&amp;".png")</f>
        <v/>
      </c>
      <c r="L30" s="28" t="str">
        <f>image("https://i.imgur.com/rJhTvoD.png")</f>
        <v/>
      </c>
      <c r="M30" s="20" t="str">
        <f>image("https://pokejungle.net/sprites/normal/"&amp;L29&amp;".png")</f>
        <v/>
      </c>
      <c r="N30" s="16" t="str">
        <f>image("https://i.imgur.com/XI18XGu.png")</f>
        <v/>
      </c>
      <c r="O30" s="20" t="str">
        <f>image("https://pokejungle.net/sprites/normal/"&amp;N29&amp;".png")</f>
        <v/>
      </c>
      <c r="P30" s="16" t="str">
        <f>image("https://i.imgur.com/zpybKax.png")</f>
        <v/>
      </c>
      <c r="Q30" s="20" t="str">
        <f>image("https://pokejungle.net/sprites/normal/"&amp;P29&amp;".png")</f>
        <v/>
      </c>
      <c r="R30" s="33"/>
    </row>
    <row r="31" ht="26.25" customHeight="1">
      <c r="A31" s="15"/>
      <c r="B31" s="38" t="str">
        <f>image("https://i.imgur.com/XIu6jDl.png")</f>
        <v/>
      </c>
      <c r="C31" s="36"/>
      <c r="D31" s="38" t="str">
        <f>image("https://i.imgur.com/XIu6jDl.png")</f>
        <v/>
      </c>
      <c r="E31" s="36"/>
      <c r="F31" s="38" t="str">
        <f>image("https://i.imgur.com/XIu6jDl.png")</f>
        <v/>
      </c>
      <c r="G31" s="36"/>
      <c r="H31" s="38" t="str">
        <f>image("https://i.imgur.com/JDgAgAO.png")</f>
        <v/>
      </c>
      <c r="I31" s="36"/>
      <c r="J31" s="38" t="str">
        <f>image("https://i.imgur.com/RqSOGo6.png")</f>
        <v/>
      </c>
      <c r="K31" s="36"/>
      <c r="L31" s="35" t="str">
        <f>image("https://i.imgur.com/RqSOGo6.png")</f>
        <v/>
      </c>
      <c r="M31" s="36"/>
      <c r="N31" s="38" t="str">
        <f>image("https://i.imgur.com/rAI9Gyi.png")</f>
        <v/>
      </c>
      <c r="O31" s="36"/>
      <c r="P31" s="37" t="str">
        <f>image("https://i.imgur.com/XI18XGu.png")</f>
        <v/>
      </c>
      <c r="Q31" s="36"/>
      <c r="R31" s="33"/>
    </row>
    <row r="32" ht="26.25" customHeight="1">
      <c r="A32" s="15"/>
      <c r="B32" s="40" t="str">
        <f>image("https://i.imgur.com/lpOVjtL.png")</f>
        <v/>
      </c>
      <c r="C32" s="41"/>
      <c r="D32" s="40" t="str">
        <f>image("https://i.imgur.com/N2Wqr43.png")</f>
        <v/>
      </c>
      <c r="E32" s="41"/>
      <c r="F32" s="40" t="str">
        <f>image("https://i.imgur.com/N2Wqr43.png")</f>
        <v/>
      </c>
      <c r="G32" s="41"/>
      <c r="H32" s="40" t="str">
        <f>image("https://i.imgur.com/zpybKax.png")</f>
        <v/>
      </c>
      <c r="I32" s="41"/>
      <c r="J32" s="40"/>
      <c r="K32" s="41"/>
      <c r="L32" s="43"/>
      <c r="M32" s="41"/>
      <c r="N32" s="40" t="str">
        <f>image("https://i.imgur.com/nNTmuH8.png")</f>
        <v/>
      </c>
      <c r="O32" s="41"/>
      <c r="P32" s="40" t="str">
        <f>image("https://i.imgur.com/nNTmuH8.png")</f>
        <v/>
      </c>
      <c r="Q32" s="41"/>
      <c r="R32" s="33"/>
    </row>
    <row r="33" ht="26.25" customHeight="1">
      <c r="A33" s="15"/>
      <c r="B33" s="16" t="str">
        <f>image("https://i.imgur.com/XIu6jDl.png")</f>
        <v/>
      </c>
      <c r="C33" s="20" t="str">
        <f>image("https://pokejungle.net/sprites/shiny/"&amp;B29&amp;".png")</f>
        <v/>
      </c>
      <c r="D33" s="16" t="str">
        <f>image("https://i.imgur.com/beHgI95.png")</f>
        <v/>
      </c>
      <c r="E33" s="20" t="str">
        <f>image("https://pokejungle.net/sprites/shiny/"&amp;D29&amp;".png")</f>
        <v/>
      </c>
      <c r="F33" s="16" t="str">
        <f>image("https://i.imgur.com/beHgI95.png")</f>
        <v/>
      </c>
      <c r="G33" s="20" t="str">
        <f>image("https://pokejungle.net/sprites/shiny/"&amp;F29&amp;".png")</f>
        <v/>
      </c>
      <c r="H33" s="16" t="str">
        <f>image("https://i.imgur.com/RqSOGo6.png")</f>
        <v/>
      </c>
      <c r="I33" s="20" t="str">
        <f>image("https://pokejungle.net/sprites/shiny/"&amp;H29&amp;".png")</f>
        <v/>
      </c>
      <c r="J33" s="16" t="str">
        <f>image("https://i.imgur.com/XI18XGu.png")</f>
        <v/>
      </c>
      <c r="K33" s="20" t="str">
        <f>image("https://pokejungle.net/sprites/shiny/"&amp;J29&amp;".png")</f>
        <v/>
      </c>
      <c r="L33" s="16" t="str">
        <f>image("https://i.imgur.com/JOd7Boe.png")</f>
        <v/>
      </c>
      <c r="M33" s="20" t="str">
        <f>image("https://pokejungle.net/sprites/shiny/"&amp;L29&amp;".png")</f>
        <v/>
      </c>
      <c r="N33" s="16" t="str">
        <f>image("https://i.imgur.com/XI18XGu.png")</f>
        <v/>
      </c>
      <c r="O33" s="20" t="str">
        <f>image("https://pokejungle.net/sprites/shiny/"&amp;N29&amp;".png")</f>
        <v/>
      </c>
      <c r="P33" s="16" t="str">
        <f>image("https://i.imgur.com/XI18XGu.png")</f>
        <v/>
      </c>
      <c r="Q33" s="20" t="str">
        <f>image("https://pokejungle.net/sprites/shiny/"&amp;P29&amp;".png")</f>
        <v/>
      </c>
      <c r="R33" s="33"/>
    </row>
    <row r="34" ht="26.25" customHeight="1">
      <c r="A34" s="15"/>
      <c r="B34" s="38" t="str">
        <f>image("https://i.imgur.com/VQL4lPa.png")</f>
        <v/>
      </c>
      <c r="C34" s="36"/>
      <c r="D34" s="46" t="str">
        <f>image("https://i.imgur.com/lpOVjtL.png")</f>
        <v/>
      </c>
      <c r="E34" s="36"/>
      <c r="F34" s="35" t="str">
        <f>image("https://i.imgur.com/lpOVjtL.png")</f>
        <v/>
      </c>
      <c r="G34" s="36"/>
      <c r="H34" s="46" t="str">
        <f>image("https://i.imgur.com/lKAfx6k.png")</f>
        <v/>
      </c>
      <c r="I34" s="36"/>
      <c r="J34" s="46" t="str">
        <f>image("https://i.imgur.com/rAI9Gyi.png")</f>
        <v/>
      </c>
      <c r="K34" s="36"/>
      <c r="L34" s="35" t="str">
        <f>image("https://i.imgur.com/N2Wqr43.png")</f>
        <v/>
      </c>
      <c r="M34" s="36"/>
      <c r="N34" s="38" t="str">
        <f>image("https://i.imgur.com/rAI9Gyi.png")</f>
        <v/>
      </c>
      <c r="O34" s="36"/>
      <c r="P34" s="38" t="str">
        <f>image("https://i.imgur.com/zpybKax.png")</f>
        <v/>
      </c>
      <c r="Q34" s="36"/>
      <c r="R34" s="33"/>
    </row>
    <row r="35" ht="26.25" customHeight="1">
      <c r="A35" s="15"/>
      <c r="B35" s="40" t="str">
        <f>image("https://i.imgur.com/lpOVjtL.png")</f>
        <v/>
      </c>
      <c r="C35" s="41"/>
      <c r="D35" s="43" t="str">
        <f>image("https://i.imgur.com/NkILW1J.png")</f>
        <v/>
      </c>
      <c r="E35" s="41"/>
      <c r="F35" s="40" t="str">
        <f>image("https://i.imgur.com/NkILW1J.png")</f>
        <v/>
      </c>
      <c r="G35" s="41"/>
      <c r="H35" s="43"/>
      <c r="I35" s="41"/>
      <c r="J35" s="40" t="str">
        <f>image("https://i.imgur.com/JOd7Boe.png")</f>
        <v/>
      </c>
      <c r="K35" s="41"/>
      <c r="L35" s="43"/>
      <c r="M35" s="41"/>
      <c r="N35" s="35" t="str">
        <f>image("https://i.imgur.com/a9HBljD.png")</f>
        <v/>
      </c>
      <c r="O35" s="41"/>
      <c r="P35" s="40" t="str">
        <f>image("https://i.imgur.com/nNTmuH8.png")</f>
        <v/>
      </c>
      <c r="Q35" s="41"/>
      <c r="R35" s="33"/>
    </row>
    <row r="36" ht="18.75" customHeight="1">
      <c r="A36" s="6"/>
      <c r="B36" s="8" t="s">
        <v>1566</v>
      </c>
      <c r="C36" s="68" t="s">
        <v>1614</v>
      </c>
      <c r="D36" s="8" t="s">
        <v>1615</v>
      </c>
      <c r="E36" s="10" t="s">
        <v>1616</v>
      </c>
      <c r="F36" s="8" t="s">
        <v>1617</v>
      </c>
      <c r="G36" s="10" t="s">
        <v>1618</v>
      </c>
      <c r="H36" s="8" t="s">
        <v>1619</v>
      </c>
      <c r="I36" s="10" t="s">
        <v>1620</v>
      </c>
      <c r="J36" s="8" t="s">
        <v>1621</v>
      </c>
      <c r="K36" s="10" t="s">
        <v>1622</v>
      </c>
      <c r="L36" s="8" t="s">
        <v>1623</v>
      </c>
      <c r="M36" s="10" t="s">
        <v>1624</v>
      </c>
      <c r="N36" s="8" t="s">
        <v>1625</v>
      </c>
      <c r="O36" s="10" t="s">
        <v>1626</v>
      </c>
      <c r="P36" s="8" t="s">
        <v>1627</v>
      </c>
      <c r="Q36" s="10" t="s">
        <v>1628</v>
      </c>
      <c r="R36" s="14"/>
    </row>
    <row r="37" ht="26.25" customHeight="1">
      <c r="A37" s="15"/>
      <c r="B37" s="16" t="str">
        <f>image("https://i.imgur.com/zpybKax.png")</f>
        <v/>
      </c>
      <c r="C37" s="20" t="str">
        <f>image("https://pokejungle.net/sprites/normal/"&amp;B36&amp;"-1.png")</f>
        <v/>
      </c>
      <c r="D37" s="16" t="str">
        <f>image("https://i.imgur.com/lKAfx6k.png")</f>
        <v/>
      </c>
      <c r="E37" s="20" t="str">
        <f>image("https://pokejungle.net/sprites/normal/"&amp;D36&amp;".png")</f>
        <v/>
      </c>
      <c r="F37" s="16" t="str">
        <f>image("https://i.imgur.com/lKAfx6k.png")</f>
        <v/>
      </c>
      <c r="G37" s="20" t="str">
        <f>image("https://pokejungle.net/sprites/normal/"&amp;F36&amp;".png")</f>
        <v/>
      </c>
      <c r="H37" s="24" t="str">
        <f>image("https://i.imgur.com/RqSOGo6.png")</f>
        <v/>
      </c>
      <c r="I37" s="20" t="str">
        <f>image("https://pokejungle.net/sprites/normal/"&amp;H36&amp;".png")</f>
        <v/>
      </c>
      <c r="J37" s="16" t="str">
        <f>image("https://i.imgur.com/zpybKax.png")</f>
        <v/>
      </c>
      <c r="K37" s="20" t="str">
        <f>image("https://pokejungle.net/sprites/normal/"&amp;J36&amp;".png")</f>
        <v/>
      </c>
      <c r="L37" s="28" t="str">
        <f>image("https://i.imgur.com/rAI9Gyi.png")</f>
        <v/>
      </c>
      <c r="M37" s="20" t="str">
        <f>image("https://pokejungle.net/sprites/normal/"&amp;L36&amp;".png")</f>
        <v/>
      </c>
      <c r="N37" s="16" t="str">
        <f>image("https://i.imgur.com/rAI9Gyi.png")</f>
        <v/>
      </c>
      <c r="O37" s="20" t="str">
        <f>image("https://pokejungle.net/sprites/normal/"&amp;N36&amp;".png")</f>
        <v/>
      </c>
      <c r="P37" s="16" t="str">
        <f>image("https://i.imgur.com/rAI9Gyi.png")</f>
        <v/>
      </c>
      <c r="Q37" s="20" t="str">
        <f>image("https://pokejungle.net/sprites/normal/"&amp;P36&amp;".png")</f>
        <v/>
      </c>
      <c r="R37" s="33"/>
    </row>
    <row r="38" ht="26.25" customHeight="1">
      <c r="A38" s="15"/>
      <c r="B38" s="37" t="str">
        <f>image("https://i.imgur.com/XI18XGu.png")</f>
        <v/>
      </c>
      <c r="C38" s="36"/>
      <c r="D38" s="38" t="str">
        <f>image("https://i.imgur.com/RqSOGo6.png")</f>
        <v/>
      </c>
      <c r="E38" s="36"/>
      <c r="F38" s="38" t="str">
        <f>image("https://i.imgur.com/RqSOGo6.png")</f>
        <v/>
      </c>
      <c r="G38" s="36"/>
      <c r="H38" s="37" t="str">
        <f>image("https://i.imgur.com/bxys1sd.png")</f>
        <v/>
      </c>
      <c r="I38" s="36"/>
      <c r="J38" s="38" t="str">
        <f>image("https://i.imgur.com/JDgAgAO.png")</f>
        <v/>
      </c>
      <c r="K38" s="36"/>
      <c r="L38" s="38" t="str">
        <f>image("https://i.imgur.com/zpybKax.png")</f>
        <v/>
      </c>
      <c r="M38" s="36"/>
      <c r="N38" s="38" t="str">
        <f>image("https://i.imgur.com/zpybKax.png")</f>
        <v/>
      </c>
      <c r="O38" s="36"/>
      <c r="P38" s="37" t="str">
        <f>image("https://i.imgur.com/XI18XGu.png")</f>
        <v/>
      </c>
      <c r="Q38" s="36"/>
      <c r="R38" s="33"/>
    </row>
    <row r="39" ht="26.25" customHeight="1">
      <c r="A39" s="15"/>
      <c r="B39" s="40" t="str">
        <f>image("https://i.imgur.com/nNTmuH8.png")</f>
        <v/>
      </c>
      <c r="C39" s="41"/>
      <c r="D39" s="43" t="str">
        <f>image("https://i.imgur.com/EkqYYOB.png")</f>
        <v/>
      </c>
      <c r="E39" s="41"/>
      <c r="F39" s="43" t="str">
        <f>image("https://i.imgur.com/EkqYYOB.png")</f>
        <v/>
      </c>
      <c r="G39" s="41"/>
      <c r="H39" s="40" t="str">
        <f>image("https://i.imgur.com/N2Wqr43.png")</f>
        <v/>
      </c>
      <c r="I39" s="41"/>
      <c r="J39" s="40" t="str">
        <f>image("https://i.imgur.com/XzidFHI.png")</f>
        <v/>
      </c>
      <c r="K39" s="41"/>
      <c r="L39" s="40" t="str">
        <f>image("https://i.imgur.com/nNTmuH8.png")</f>
        <v/>
      </c>
      <c r="M39" s="41"/>
      <c r="N39" s="40" t="str">
        <f>image("https://i.imgur.com/nNTmuH8.png")</f>
        <v/>
      </c>
      <c r="O39" s="41"/>
      <c r="P39" s="40"/>
      <c r="Q39" s="41"/>
      <c r="R39" s="33"/>
    </row>
    <row r="40" ht="26.25" customHeight="1">
      <c r="A40" s="15"/>
      <c r="B40" s="16" t="str">
        <f>image("https://i.imgur.com/XI18XGu.png")</f>
        <v/>
      </c>
      <c r="C40" s="20" t="str">
        <f>image("https://pokejungle.net/sprites/shiny/"&amp;B36&amp;"-1.png")</f>
        <v/>
      </c>
      <c r="D40" s="16" t="str">
        <f>image("https://i.imgur.com/lKAfx6k.png")</f>
        <v/>
      </c>
      <c r="E40" s="20" t="str">
        <f>image("https://pokejungle.net/sprites/shiny/"&amp;D36&amp;".png")</f>
        <v/>
      </c>
      <c r="F40" s="16" t="str">
        <f>image("https://i.imgur.com/lKAfx6k.png")</f>
        <v/>
      </c>
      <c r="G40" s="20" t="str">
        <f>image("https://pokejungle.net/sprites/shiny/"&amp;F36&amp;".png")</f>
        <v/>
      </c>
      <c r="H40" s="16" t="str">
        <f>image("https://i.imgur.com/RqSOGo6.png")</f>
        <v/>
      </c>
      <c r="I40" s="20" t="str">
        <f>image("https://pokejungle.net/sprites/shiny/"&amp;H36&amp;".png")</f>
        <v/>
      </c>
      <c r="J40" s="16" t="str">
        <f>image("https://i.imgur.com/rJhTvoD.png")</f>
        <v/>
      </c>
      <c r="K40" s="20" t="str">
        <f>image("https://pokejungle.net/sprites/shiny/"&amp;J36&amp;".png")</f>
        <v/>
      </c>
      <c r="L40" s="16" t="str">
        <f>image("https://i.imgur.com/XI18XGu.png")</f>
        <v/>
      </c>
      <c r="M40" s="20" t="str">
        <f>image("https://pokejungle.net/sprites/shiny/"&amp;L36&amp;".png")</f>
        <v/>
      </c>
      <c r="N40" s="16" t="str">
        <f>image("https://i.imgur.com/XI18XGu.png")</f>
        <v/>
      </c>
      <c r="O40" s="20" t="str">
        <f>image("https://pokejungle.net/sprites/shiny/"&amp;N36&amp;".png")</f>
        <v/>
      </c>
      <c r="P40" s="16" t="str">
        <f>image("https://i.imgur.com/a9HBljD.png")</f>
        <v/>
      </c>
      <c r="Q40" s="20" t="str">
        <f>image("https://pokejungle.net/sprites/shiny/"&amp;P36&amp;".png")</f>
        <v/>
      </c>
      <c r="R40" s="33"/>
    </row>
    <row r="41" ht="26.25" customHeight="1">
      <c r="A41" s="15"/>
      <c r="B41" s="38" t="str">
        <f>image("https://i.imgur.com/zpybKax.png")</f>
        <v/>
      </c>
      <c r="C41" s="36"/>
      <c r="D41" s="38" t="str">
        <f>image("https://i.imgur.com/RqSOGo6.png")</f>
        <v/>
      </c>
      <c r="E41" s="36"/>
      <c r="F41" s="38" t="str">
        <f>image("https://i.imgur.com/RqSOGo6.png")</f>
        <v/>
      </c>
      <c r="G41" s="36"/>
      <c r="H41" s="38" t="str">
        <f>image("https://i.imgur.com/ef1o2lD.png")</f>
        <v/>
      </c>
      <c r="I41" s="36"/>
      <c r="J41" s="38" t="str">
        <f>image("https://i.imgur.com/lKAfx6k.png")</f>
        <v/>
      </c>
      <c r="K41" s="36"/>
      <c r="L41" s="46" t="str">
        <f>image("https://i.imgur.com/rAI9Gyi.png")</f>
        <v/>
      </c>
      <c r="M41" s="36"/>
      <c r="N41" s="38" t="str">
        <f>image("https://i.imgur.com/rAI9Gyi.png")</f>
        <v/>
      </c>
      <c r="O41" s="36"/>
      <c r="P41" s="38" t="str">
        <f>image("https://i.imgur.com/0ArMZjJ.png")</f>
        <v/>
      </c>
      <c r="Q41" s="36"/>
      <c r="R41" s="33"/>
    </row>
    <row r="42" ht="26.25" customHeight="1">
      <c r="A42" s="15"/>
      <c r="B42" s="40" t="str">
        <f>image("https://i.imgur.com/nNTmuH8.png")</f>
        <v/>
      </c>
      <c r="C42" s="41"/>
      <c r="D42" s="43" t="str">
        <f>image("https://i.imgur.com/EkqYYOB.png")</f>
        <v/>
      </c>
      <c r="E42" s="41"/>
      <c r="F42" s="43" t="str">
        <f>image("https://i.imgur.com/EkqYYOB.png")</f>
        <v/>
      </c>
      <c r="G42" s="41"/>
      <c r="H42" s="40" t="str">
        <f>image("https://i.imgur.com/NkILW1J.png")</f>
        <v/>
      </c>
      <c r="I42" s="41"/>
      <c r="J42" s="40" t="str">
        <f>image("https://i.imgur.com/RqSOGo6.png")</f>
        <v/>
      </c>
      <c r="K42" s="41"/>
      <c r="L42" s="40" t="str">
        <f>image("https://i.imgur.com/nNTmuH8.png")</f>
        <v/>
      </c>
      <c r="M42" s="41"/>
      <c r="N42" s="40" t="str">
        <f>image("https://i.imgur.com/nNTmuH8.png")</f>
        <v/>
      </c>
      <c r="O42" s="41"/>
      <c r="P42" s="40" t="str">
        <f>image("https://i.imgur.com/XI18XGu.png")</f>
        <v/>
      </c>
      <c r="Q42" s="41"/>
      <c r="R42" s="33"/>
    </row>
    <row r="43" ht="18.75" customHeight="1">
      <c r="A43" s="6"/>
      <c r="B43" s="8" t="s">
        <v>1685</v>
      </c>
      <c r="C43" s="10" t="s">
        <v>1687</v>
      </c>
      <c r="D43" s="8" t="s">
        <v>1688</v>
      </c>
      <c r="E43" s="10" t="s">
        <v>1689</v>
      </c>
      <c r="F43" s="8" t="s">
        <v>1690</v>
      </c>
      <c r="G43" s="10" t="s">
        <v>1691</v>
      </c>
      <c r="H43" s="8" t="s">
        <v>1692</v>
      </c>
      <c r="I43" s="10" t="s">
        <v>1693</v>
      </c>
      <c r="J43" s="8" t="s">
        <v>1694</v>
      </c>
      <c r="K43" s="10" t="s">
        <v>1695</v>
      </c>
      <c r="L43" s="8" t="s">
        <v>1696</v>
      </c>
      <c r="M43" s="10" t="s">
        <v>1697</v>
      </c>
      <c r="N43" s="8" t="s">
        <v>1698</v>
      </c>
      <c r="O43" s="10" t="s">
        <v>1699</v>
      </c>
      <c r="P43" s="8" t="s">
        <v>1700</v>
      </c>
      <c r="Q43" s="10" t="s">
        <v>1701</v>
      </c>
      <c r="R43" s="14"/>
    </row>
    <row r="44" ht="26.25" customHeight="1">
      <c r="A44" s="15"/>
      <c r="B44" s="16" t="str">
        <f>image("https://i.imgur.com/rAI9Gyi.png")</f>
        <v/>
      </c>
      <c r="C44" s="20" t="str">
        <f>image("https://pokejungle.net/sprites/normal/"&amp;B43&amp;".png")</f>
        <v/>
      </c>
      <c r="D44" s="16" t="str">
        <f>image("https://i.imgur.com/rAI9Gyi.png")</f>
        <v/>
      </c>
      <c r="E44" s="20" t="str">
        <f>image("https://pokejungle.net/sprites/normal/"&amp;D43&amp;".png")</f>
        <v/>
      </c>
      <c r="F44" s="16" t="str">
        <f>image("https://i.imgur.com/XI18XGu.png")</f>
        <v/>
      </c>
      <c r="G44" s="20" t="str">
        <f>image("https://pokejungle.net/sprites/normal/"&amp;F43&amp;".png")</f>
        <v/>
      </c>
      <c r="H44" s="24" t="str">
        <f>image("https://i.imgur.com/N2Wqr43.png")</f>
        <v/>
      </c>
      <c r="I44" s="20" t="str">
        <f>image("https://pokejungle.net/sprites/normal/"&amp;H43&amp;".png")</f>
        <v/>
      </c>
      <c r="J44" s="16" t="str">
        <f>image("https://i.imgur.com/N2Wqr43.png")</f>
        <v/>
      </c>
      <c r="K44" s="20" t="str">
        <f>image("https://pokejungle.net/sprites/normal/"&amp;J43&amp;".png")</f>
        <v/>
      </c>
      <c r="L44" s="28" t="str">
        <f>image("https://i.imgur.com/JOd7Boe.png")</f>
        <v/>
      </c>
      <c r="M44" s="20" t="str">
        <f>image("https://pokejungle.net/sprites/normal/"&amp;L43&amp;".png")</f>
        <v/>
      </c>
      <c r="N44" s="28" t="str">
        <f>image("https://i.imgur.com/JOd7Boe.png")</f>
        <v/>
      </c>
      <c r="O44" s="20" t="str">
        <f>image("https://pokejungle.net/sprites/normal/"&amp;N43&amp;".png")</f>
        <v/>
      </c>
      <c r="P44" s="16" t="str">
        <f>image("https://i.imgur.com/0ArMZjJ.png")</f>
        <v/>
      </c>
      <c r="Q44" s="20" t="str">
        <f>image("https://pokejungle.net/sprites/normal/"&amp;P43&amp;".png")</f>
        <v/>
      </c>
      <c r="R44" s="33"/>
    </row>
    <row r="45" ht="26.25" customHeight="1">
      <c r="A45" s="15"/>
      <c r="B45" s="37" t="str">
        <f>image("https://i.imgur.com/XI18XGu.png")</f>
        <v/>
      </c>
      <c r="C45" s="36"/>
      <c r="D45" s="37" t="str">
        <f>image("https://i.imgur.com/XI18XGu.png")</f>
        <v/>
      </c>
      <c r="E45" s="36"/>
      <c r="F45" s="35" t="str">
        <f>image("https://i.imgur.com/a9HBljD.png")</f>
        <v/>
      </c>
      <c r="G45" s="36"/>
      <c r="H45" s="37" t="str">
        <f>image("https://i.imgur.com/XI18XGu.png")</f>
        <v/>
      </c>
      <c r="I45" s="36"/>
      <c r="J45" s="38" t="str">
        <f>image("https://i.imgur.com/VQL4lPa.png")</f>
        <v/>
      </c>
      <c r="K45" s="36"/>
      <c r="L45" s="35" t="str">
        <f>image("https://i.imgur.com/EkqYYOB.png")</f>
        <v/>
      </c>
      <c r="M45" s="36"/>
      <c r="N45" s="38" t="str">
        <f>image("https://i.imgur.com/NkILW1J.png")</f>
        <v/>
      </c>
      <c r="O45" s="36"/>
      <c r="P45" s="38" t="str">
        <f>image("https://i.imgur.com/JOd7Boe.png")</f>
        <v/>
      </c>
      <c r="Q45" s="36"/>
      <c r="R45" s="33"/>
    </row>
    <row r="46" ht="26.25" customHeight="1">
      <c r="A46" s="15"/>
      <c r="B46" s="40"/>
      <c r="C46" s="41"/>
      <c r="D46" s="40"/>
      <c r="E46" s="41"/>
      <c r="F46" s="40" t="str">
        <f>image("https://i.imgur.com/N2Wqr43.png")</f>
        <v/>
      </c>
      <c r="G46" s="41"/>
      <c r="H46" s="40"/>
      <c r="I46" s="41"/>
      <c r="J46" s="40"/>
      <c r="K46" s="41"/>
      <c r="L46" s="40" t="str">
        <f>image("https://i.imgur.com/rJhTvoD.png")</f>
        <v/>
      </c>
      <c r="M46" s="41"/>
      <c r="N46" s="40" t="str">
        <f>image("https://i.imgur.com/EkqYYOB.png")</f>
        <v/>
      </c>
      <c r="O46" s="41"/>
      <c r="P46" s="40"/>
      <c r="Q46" s="41"/>
      <c r="R46" s="33"/>
    </row>
    <row r="47" ht="26.25" customHeight="1">
      <c r="A47" s="15"/>
      <c r="B47" s="16" t="str">
        <f>image("https://i.imgur.com/a9HBljD.png")</f>
        <v/>
      </c>
      <c r="C47" s="20" t="str">
        <f>image("https://pokejungle.net/sprites/shiny/"&amp;B43&amp;".png")</f>
        <v/>
      </c>
      <c r="D47" s="16" t="str">
        <f>image("https://i.imgur.com/a9HBljD.png")</f>
        <v/>
      </c>
      <c r="E47" s="20" t="str">
        <f>image("https://pokejungle.net/sprites/shiny/"&amp;D43&amp;".png")</f>
        <v/>
      </c>
      <c r="F47" s="16" t="str">
        <f>image("https://i.imgur.com/SF5CZ6U.png")</f>
        <v/>
      </c>
      <c r="G47" s="20" t="str">
        <f>image("https://pokejungle.net/sprites/shiny/"&amp;F43&amp;".png")</f>
        <v/>
      </c>
      <c r="H47" s="16" t="str">
        <f>image("https://i.imgur.com/SF5CZ6U.png")</f>
        <v/>
      </c>
      <c r="I47" s="20" t="str">
        <f>image("https://pokejungle.net/sprites/shiny/"&amp;H43&amp;".png")</f>
        <v/>
      </c>
      <c r="J47" s="16" t="str">
        <f>image("https://i.imgur.com/0ArMZjJ.png")</f>
        <v/>
      </c>
      <c r="K47" s="20" t="str">
        <f>image("https://pokejungle.net/sprites/shiny/"&amp;J43&amp;".png")</f>
        <v/>
      </c>
      <c r="L47" s="16" t="str">
        <f>image("https://i.imgur.com/ef1o2lD.png")</f>
        <v/>
      </c>
      <c r="M47" s="20" t="str">
        <f>image("https://pokejungle.net/sprites/shiny/"&amp;L43&amp;".png")</f>
        <v/>
      </c>
      <c r="N47" s="16" t="str">
        <f>image("https://i.imgur.com/beHgI95.png")</f>
        <v/>
      </c>
      <c r="O47" s="20" t="str">
        <f>image("https://pokejungle.net/sprites/shiny/"&amp;N43&amp;".png")</f>
        <v/>
      </c>
      <c r="P47" s="16" t="str">
        <f>image("https://i.imgur.com/0ArMZjJ.png")</f>
        <v/>
      </c>
      <c r="Q47" s="20" t="str">
        <f>image("https://pokejungle.net/sprites/shiny/"&amp;P43&amp;".png")</f>
        <v/>
      </c>
      <c r="R47" s="33"/>
    </row>
    <row r="48" ht="26.25" customHeight="1">
      <c r="A48" s="15"/>
      <c r="B48" s="38" t="str">
        <f>image("https://i.imgur.com/0ArMZjJ.png")</f>
        <v/>
      </c>
      <c r="C48" s="36"/>
      <c r="D48" s="46" t="str">
        <f>image("https://i.imgur.com/0ArMZjJ.png")</f>
        <v/>
      </c>
      <c r="E48" s="36"/>
      <c r="F48" s="38" t="str">
        <f>image("https://i.imgur.com/ef1o2lD.png")</f>
        <v/>
      </c>
      <c r="G48" s="36"/>
      <c r="H48" s="38" t="str">
        <f>image("https://i.imgur.com/ef1o2lD.png")</f>
        <v/>
      </c>
      <c r="I48" s="36"/>
      <c r="J48" s="38" t="str">
        <f>image("https://i.imgur.com/a9HBljD.png")</f>
        <v/>
      </c>
      <c r="K48" s="36"/>
      <c r="L48" s="38" t="str">
        <f>image("https://i.imgur.com/SF5CZ6U.png")</f>
        <v/>
      </c>
      <c r="M48" s="36"/>
      <c r="N48" s="38" t="str">
        <f>image("https://i.imgur.com/rJhTvoD.png")</f>
        <v/>
      </c>
      <c r="O48" s="36"/>
      <c r="P48" s="38" t="str">
        <f>image("https://i.imgur.com/JOd7Boe.png")</f>
        <v/>
      </c>
      <c r="Q48" s="36"/>
      <c r="R48" s="33"/>
    </row>
    <row r="49" ht="26.25" customHeight="1">
      <c r="A49" s="15"/>
      <c r="B49" s="40" t="str">
        <f>image("https://i.imgur.com/XI18XGu.png")</f>
        <v/>
      </c>
      <c r="C49" s="41"/>
      <c r="D49" s="40" t="str">
        <f>image("https://i.imgur.com/XI18XGu.png")</f>
        <v/>
      </c>
      <c r="E49" s="41"/>
      <c r="F49" s="40" t="str">
        <f>image("https://i.imgur.com/0ArMZjJ.png")</f>
        <v/>
      </c>
      <c r="G49" s="41"/>
      <c r="H49" s="43" t="str">
        <f>image("https://i.imgur.com/0ArMZjJ.png")</f>
        <v/>
      </c>
      <c r="I49" s="41"/>
      <c r="J49" s="40" t="str">
        <f>image("https://i.imgur.com/XI18XGu.png")</f>
        <v/>
      </c>
      <c r="K49" s="41"/>
      <c r="L49" s="40" t="str">
        <f>image("https://i.imgur.com/GyNf8BH.png")</f>
        <v/>
      </c>
      <c r="M49" s="41"/>
      <c r="N49" s="40" t="str">
        <f>image("https://i.imgur.com/EkqYYOB.png")</f>
        <v/>
      </c>
      <c r="O49" s="41"/>
      <c r="P49" s="40"/>
      <c r="Q49" s="41"/>
      <c r="R49" s="33"/>
    </row>
    <row r="50" ht="18.75" customHeight="1">
      <c r="A50" s="6"/>
      <c r="B50" s="8" t="s">
        <v>1731</v>
      </c>
      <c r="C50" s="10" t="s">
        <v>1732</v>
      </c>
      <c r="D50" s="8" t="s">
        <v>1733</v>
      </c>
      <c r="E50" s="10" t="s">
        <v>1734</v>
      </c>
      <c r="F50" s="8" t="s">
        <v>1735</v>
      </c>
      <c r="G50" s="10" t="s">
        <v>1736</v>
      </c>
      <c r="H50" s="8" t="s">
        <v>1737</v>
      </c>
      <c r="I50" s="10" t="s">
        <v>1738</v>
      </c>
      <c r="J50" s="8" t="s">
        <v>1739</v>
      </c>
      <c r="K50" s="10" t="s">
        <v>1740</v>
      </c>
      <c r="L50" s="8" t="s">
        <v>1741</v>
      </c>
      <c r="M50" s="10" t="s">
        <v>1742</v>
      </c>
      <c r="N50" s="8" t="s">
        <v>1743</v>
      </c>
      <c r="O50" s="10" t="s">
        <v>1744</v>
      </c>
      <c r="P50" s="8" t="s">
        <v>1745</v>
      </c>
      <c r="Q50" s="10" t="s">
        <v>1746</v>
      </c>
      <c r="R50" s="14"/>
    </row>
    <row r="51" ht="26.25" customHeight="1">
      <c r="A51" s="15"/>
      <c r="B51" s="16" t="str">
        <f>image("https://i.imgur.com/XIu6jDl.png")</f>
        <v/>
      </c>
      <c r="C51" s="20" t="str">
        <f>image("https://pokejungle.net/sprites/normal/"&amp;B50&amp;".png")</f>
        <v/>
      </c>
      <c r="D51" s="16" t="str">
        <f>image("https://i.imgur.com/ef1o2lD.png")</f>
        <v/>
      </c>
      <c r="E51" s="20" t="str">
        <f>image("https://pokejungle.net/sprites/normal/"&amp;D50&amp;".png")</f>
        <v/>
      </c>
      <c r="F51" s="16" t="str">
        <f>image("https://i.imgur.com/JOd7Boe.png")</f>
        <v/>
      </c>
      <c r="G51" s="20" t="str">
        <f>image("https://pokejungle.net/sprites/normal/"&amp;F50&amp;".png")</f>
        <v/>
      </c>
      <c r="H51" s="24" t="str">
        <f>image("https://i.imgur.com/0ArMZjJ.png")</f>
        <v/>
      </c>
      <c r="I51" s="20" t="str">
        <f>image("https://pokejungle.net/sprites/normal/"&amp;H50&amp;".png")</f>
        <v/>
      </c>
      <c r="J51" s="111" t="s">
        <v>1747</v>
      </c>
      <c r="K51" s="19"/>
      <c r="L51" s="28" t="str">
        <f>image("https://i.imgur.com/rJhTvoD.png")</f>
        <v/>
      </c>
      <c r="M51" s="20" t="str">
        <f>image("https://pokejungle.net/sprites/normal/"&amp;L50&amp;".png")</f>
        <v/>
      </c>
      <c r="N51" s="16" t="str">
        <f>image("https://i.imgur.com/beHgI95.png")</f>
        <v/>
      </c>
      <c r="O51" s="20" t="str">
        <f>image("https://pokejungle.net/sprites/normal/"&amp;N50&amp;".png")</f>
        <v/>
      </c>
      <c r="P51" s="16" t="str">
        <f>image("https://i.imgur.com/0ArMZjJ.png")</f>
        <v/>
      </c>
      <c r="Q51" s="20" t="str">
        <f>image("https://pokejungle.net/sprites/normal/"&amp;P50&amp;".png")</f>
        <v/>
      </c>
      <c r="R51" s="33"/>
    </row>
    <row r="52" ht="26.25" customHeight="1">
      <c r="A52" s="15"/>
      <c r="B52" s="38" t="str">
        <f>image("https://i.imgur.com/0ArMZjJ.png")</f>
        <v/>
      </c>
      <c r="C52" s="36"/>
      <c r="D52" s="35" t="str">
        <f>image("https://i.imgur.com/XNzvO0H.png")</f>
        <v/>
      </c>
      <c r="E52" s="36"/>
      <c r="F52" s="35" t="str">
        <f>image("https://i.imgur.com/0ArMZjJ.png")</f>
        <v/>
      </c>
      <c r="G52" s="36"/>
      <c r="H52" s="37" t="str">
        <f>image("https://i.imgur.com/rAI9Gyi.png")</f>
        <v/>
      </c>
      <c r="I52" s="36"/>
      <c r="J52" s="112"/>
      <c r="K52" s="26"/>
      <c r="L52" s="35" t="str">
        <f>image("https://i.imgur.com/lKAfx6k.png")</f>
        <v/>
      </c>
      <c r="M52" s="36"/>
      <c r="N52" s="38" t="str">
        <f>image("https://i.imgur.com/rJhTvoD.png")</f>
        <v/>
      </c>
      <c r="O52" s="36"/>
      <c r="P52" s="38" t="str">
        <f>image("https://i.imgur.com/XNzvO0H.png")</f>
        <v/>
      </c>
      <c r="Q52" s="36"/>
      <c r="R52" s="33"/>
    </row>
    <row r="53" ht="26.25" customHeight="1">
      <c r="A53" s="15"/>
      <c r="B53" s="40"/>
      <c r="C53" s="41"/>
      <c r="D53" s="40" t="str">
        <f>image("https://i.imgur.com/SF5CZ6U.png")</f>
        <v/>
      </c>
      <c r="E53" s="41"/>
      <c r="F53" s="40"/>
      <c r="G53" s="41"/>
      <c r="H53" s="40"/>
      <c r="I53" s="41"/>
      <c r="J53" s="113"/>
      <c r="K53" s="52"/>
      <c r="L53" s="43" t="str">
        <f>image("https://i.imgur.com/RqSOGo6.png")</f>
        <v/>
      </c>
      <c r="M53" s="41"/>
      <c r="N53" s="40"/>
      <c r="O53" s="41"/>
      <c r="P53" s="40"/>
      <c r="Q53" s="41"/>
      <c r="R53" s="33"/>
    </row>
    <row r="54" ht="26.25" customHeight="1">
      <c r="A54" s="15"/>
      <c r="B54" s="16" t="str">
        <f>image("https://i.imgur.com/XIu6jDl.png")</f>
        <v/>
      </c>
      <c r="C54" s="20" t="str">
        <f>image("https://pokejungle.net/sprites/shiny/"&amp;B50&amp;".png")</f>
        <v/>
      </c>
      <c r="D54" s="16" t="str">
        <f>image("https://i.imgur.com/JDgAgAO.png")</f>
        <v/>
      </c>
      <c r="E54" s="20" t="str">
        <f>image("https://pokejungle.net/sprites/shiny/"&amp;D50&amp;".png")</f>
        <v/>
      </c>
      <c r="F54" s="16" t="str">
        <f>image("https://i.imgur.com/0ArMZjJ.png")</f>
        <v/>
      </c>
      <c r="G54" s="20" t="str">
        <f>image("https://pokejungle.net/sprites/shiny/"&amp;F50&amp;".png")</f>
        <v/>
      </c>
      <c r="H54" s="16" t="str">
        <f>image("https://i.imgur.com/0ArMZjJ.png")</f>
        <v/>
      </c>
      <c r="I54" s="20" t="str">
        <f>image("https://pokejungle.net/sprites/shiny/"&amp;H50&amp;".png")</f>
        <v/>
      </c>
      <c r="J54" s="111" t="s">
        <v>1747</v>
      </c>
      <c r="K54" s="19"/>
      <c r="L54" s="16" t="str">
        <f>image("https://i.imgur.com/beHgI95.png")</f>
        <v/>
      </c>
      <c r="M54" s="20" t="str">
        <f>image("https://pokejungle.net/sprites/shiny/"&amp;L50&amp;".png")</f>
        <v/>
      </c>
      <c r="N54" s="16" t="str">
        <f>image("https://i.imgur.com/RqSOGo6.png")</f>
        <v/>
      </c>
      <c r="O54" s="20" t="str">
        <f>image("https://pokejungle.net/sprites/shiny/"&amp;N50&amp;".png")</f>
        <v/>
      </c>
      <c r="P54" s="16" t="str">
        <f>image("https://i.imgur.com/0ArMZjJ.png")</f>
        <v/>
      </c>
      <c r="Q54" s="20" t="str">
        <f>image("https://pokejungle.net/sprites/shiny/"&amp;P50&amp;".png")</f>
        <v/>
      </c>
      <c r="R54" s="33"/>
    </row>
    <row r="55" ht="26.25" customHeight="1">
      <c r="A55" s="15"/>
      <c r="B55" s="38" t="str">
        <f>image("https://i.imgur.com/beHgI95.png")</f>
        <v/>
      </c>
      <c r="C55" s="36"/>
      <c r="D55" s="46" t="str">
        <f>image("https://i.imgur.com/JOd7Boe.png")</f>
        <v/>
      </c>
      <c r="E55" s="36"/>
      <c r="F55" s="35" t="str">
        <f>image("https://i.imgur.com/JOd7Boe.png")</f>
        <v/>
      </c>
      <c r="G55" s="36"/>
      <c r="H55" s="46"/>
      <c r="I55" s="36"/>
      <c r="J55" s="112"/>
      <c r="K55" s="26"/>
      <c r="L55" s="46"/>
      <c r="M55" s="36"/>
      <c r="N55" s="38" t="str">
        <f>image("https://i.imgur.com/rJhTvoD.png")</f>
        <v/>
      </c>
      <c r="O55" s="36"/>
      <c r="P55" s="38" t="str">
        <f>image("https://i.imgur.com/XNzvO0H.png")</f>
        <v/>
      </c>
      <c r="Q55" s="36"/>
      <c r="R55" s="33"/>
    </row>
    <row r="56" ht="26.25" customHeight="1">
      <c r="A56" s="15"/>
      <c r="B56" s="40"/>
      <c r="C56" s="41"/>
      <c r="D56" s="40" t="str">
        <f>image("https://i.imgur.com/NkILW1J.png")</f>
        <v/>
      </c>
      <c r="E56" s="41"/>
      <c r="F56" s="40" t="str">
        <f>image("https://i.imgur.com/XI18XGu.png")</f>
        <v/>
      </c>
      <c r="G56" s="41"/>
      <c r="H56" s="43"/>
      <c r="I56" s="41"/>
      <c r="J56" s="113"/>
      <c r="K56" s="52"/>
      <c r="L56" s="43"/>
      <c r="M56" s="41"/>
      <c r="N56" s="40"/>
      <c r="O56" s="41"/>
      <c r="P56" s="40"/>
      <c r="Q56" s="41"/>
      <c r="R56" s="33"/>
    </row>
    <row r="57" ht="18.75" customHeight="1">
      <c r="A57" s="6"/>
      <c r="B57" s="8" t="s">
        <v>1794</v>
      </c>
      <c r="C57" s="10" t="s">
        <v>1795</v>
      </c>
      <c r="D57" s="8" t="s">
        <v>1796</v>
      </c>
      <c r="E57" s="10" t="s">
        <v>1797</v>
      </c>
      <c r="F57" s="8" t="s">
        <v>1798</v>
      </c>
      <c r="G57" s="10" t="s">
        <v>1799</v>
      </c>
      <c r="H57" s="8" t="s">
        <v>1800</v>
      </c>
      <c r="I57" s="10" t="s">
        <v>1801</v>
      </c>
      <c r="J57" s="8" t="s">
        <v>1800</v>
      </c>
      <c r="K57" s="68" t="s">
        <v>1802</v>
      </c>
      <c r="L57" s="8" t="s">
        <v>1803</v>
      </c>
      <c r="M57" s="10" t="s">
        <v>1804</v>
      </c>
      <c r="N57" s="8" t="s">
        <v>1805</v>
      </c>
      <c r="O57" s="10" t="s">
        <v>1806</v>
      </c>
      <c r="P57" s="8" t="s">
        <v>1807</v>
      </c>
      <c r="Q57" s="10" t="s">
        <v>1808</v>
      </c>
      <c r="R57" s="14"/>
    </row>
    <row r="58" ht="26.25" customHeight="1">
      <c r="A58" s="15"/>
      <c r="B58" s="16" t="str">
        <f>image("https://i.imgur.com/0ArMZjJ.png")</f>
        <v/>
      </c>
      <c r="C58" s="20" t="str">
        <f>image("https://pokejungle.net/sprites/normal/"&amp;B57&amp;".png")</f>
        <v/>
      </c>
      <c r="D58" s="16" t="str">
        <f>image("https://i.imgur.com/NkILW1J.png")</f>
        <v/>
      </c>
      <c r="E58" s="20" t="str">
        <f>image("https://pokejungle.net/sprites/normal/"&amp;D57&amp;".png")</f>
        <v/>
      </c>
      <c r="F58" s="16" t="str">
        <f>image("https://i.imgur.com/XNzvO0H.png")</f>
        <v/>
      </c>
      <c r="G58" s="20" t="str">
        <f>image("https://pokejungle.net/sprites/normal/"&amp;F57&amp;".png")</f>
        <v/>
      </c>
      <c r="H58" s="24" t="str">
        <f>image("https://i.imgur.com/XI18XGu.png")</f>
        <v/>
      </c>
      <c r="I58" s="20" t="str">
        <f>image("https://pokejungle.net/sprites/normal/"&amp;H57&amp;".png")</f>
        <v/>
      </c>
      <c r="J58" s="16" t="str">
        <f>image("https://i.imgur.com/XI18XGu.png")</f>
        <v/>
      </c>
      <c r="K58" s="20" t="str">
        <f>image("https://pokejungle.net/sprites/normal/"&amp;J57&amp;"-f.png")</f>
        <v/>
      </c>
      <c r="L58" s="28" t="str">
        <f>image("https://i.imgur.com/beHgI95.png")</f>
        <v/>
      </c>
      <c r="M58" s="20" t="str">
        <f>image("https://pokejungle.net/sprites/normal/"&amp;L57&amp;".png")</f>
        <v/>
      </c>
      <c r="N58" s="16" t="str">
        <f>image("https://i.imgur.com/RqSOGo6.png")</f>
        <v/>
      </c>
      <c r="O58" s="20" t="str">
        <f>image("https://pokejungle.net/sprites/normal/"&amp;N57&amp;".png")</f>
        <v/>
      </c>
      <c r="P58" s="16" t="str">
        <f>image("https://i.imgur.com/NkILW1J.png")</f>
        <v/>
      </c>
      <c r="Q58" s="20" t="str">
        <f>image("https://pokejungle.net/sprites/normal/"&amp;P57&amp;".png")</f>
        <v/>
      </c>
      <c r="R58" s="33"/>
    </row>
    <row r="59" ht="26.25" customHeight="1">
      <c r="A59" s="15"/>
      <c r="B59" s="38" t="str">
        <f>image("https://i.imgur.com/XNzvO0H.png")</f>
        <v/>
      </c>
      <c r="C59" s="36"/>
      <c r="D59" s="35" t="str">
        <f>image("https://i.imgur.com/JOd7Boe.png")</f>
        <v/>
      </c>
      <c r="E59" s="36"/>
      <c r="F59" s="46" t="str">
        <f>image("https://i.imgur.com/XzidFHI.png")</f>
        <v/>
      </c>
      <c r="G59" s="36"/>
      <c r="H59" s="37" t="str">
        <f>image("https://i.imgur.com/0ArMZjJ.png")</f>
        <v/>
      </c>
      <c r="I59" s="36"/>
      <c r="J59" s="38" t="str">
        <f>image("https://i.imgur.com/0ArMZjJ.png")</f>
        <v/>
      </c>
      <c r="K59" s="36"/>
      <c r="L59" s="38" t="str">
        <f>image("https://i.imgur.com/rJhTvoD.png")</f>
        <v/>
      </c>
      <c r="M59" s="36"/>
      <c r="N59" s="38" t="str">
        <f>image("https://i.imgur.com/rJhTvoD.png")</f>
        <v/>
      </c>
      <c r="O59" s="36"/>
      <c r="P59" s="38" t="str">
        <f>image("https://i.imgur.com/RqSOGo6.png")</f>
        <v/>
      </c>
      <c r="Q59" s="36"/>
      <c r="R59" s="33"/>
    </row>
    <row r="60" ht="26.25" customHeight="1">
      <c r="A60" s="15"/>
      <c r="B60" s="40"/>
      <c r="C60" s="41"/>
      <c r="D60" s="40"/>
      <c r="E60" s="41"/>
      <c r="F60" s="40" t="str">
        <f>image("https://i.imgur.com/0ArMZjJ.png")</f>
        <v/>
      </c>
      <c r="G60" s="41"/>
      <c r="H60" s="40" t="str">
        <f>image("https://i.imgur.com/nNTmuH8.png")</f>
        <v/>
      </c>
      <c r="I60" s="41"/>
      <c r="J60" s="40" t="str">
        <f>image("https://i.imgur.com/nNTmuH8.png")</f>
        <v/>
      </c>
      <c r="K60" s="41"/>
      <c r="L60" s="43"/>
      <c r="M60" s="41"/>
      <c r="N60" s="40"/>
      <c r="O60" s="41"/>
      <c r="P60" s="40" t="str">
        <f>image("https://i.imgur.com/N2Wqr43.png")</f>
        <v/>
      </c>
      <c r="Q60" s="41"/>
      <c r="R60" s="33"/>
    </row>
    <row r="61" ht="26.25" customHeight="1">
      <c r="A61" s="15"/>
      <c r="B61" s="16" t="str">
        <f>image("https://i.imgur.com/0ArMZjJ.png")</f>
        <v/>
      </c>
      <c r="C61" s="20" t="str">
        <f>image("https://pokejungle.net/sprites/shiny/"&amp;B57&amp;".png")</f>
        <v/>
      </c>
      <c r="D61" s="16" t="str">
        <f>image("https://i.imgur.com/NkILW1J.png")</f>
        <v/>
      </c>
      <c r="E61" s="20" t="str">
        <f>image("https://pokejungle.net/sprites/shiny/"&amp;D57&amp;".png")</f>
        <v/>
      </c>
      <c r="F61" s="16" t="str">
        <f>image("https://i.imgur.com/a9HBljD.png")</f>
        <v/>
      </c>
      <c r="G61" s="20" t="str">
        <f>image("https://pokejungle.net/sprites/shiny/"&amp;F57&amp;".png")</f>
        <v/>
      </c>
      <c r="H61" s="16" t="str">
        <f>image("https://i.imgur.com/SF5CZ6U.png")</f>
        <v/>
      </c>
      <c r="I61" s="20" t="str">
        <f>image("https://pokejungle.net/sprites/shiny/"&amp;H57&amp;".png")</f>
        <v/>
      </c>
      <c r="J61" s="16" t="str">
        <f>image("https://i.imgur.com/SF5CZ6U.png")</f>
        <v/>
      </c>
      <c r="K61" s="20" t="str">
        <f>image("https://pokejungle.net/sprites/shiny/"&amp;J57&amp;"-f.png")</f>
        <v/>
      </c>
      <c r="L61" s="16" t="str">
        <f>image("https://i.imgur.com/beHgI95.png")</f>
        <v/>
      </c>
      <c r="M61" s="20" t="str">
        <f>image("https://pokejungle.net/sprites/shiny/"&amp;L57&amp;".png")</f>
        <v/>
      </c>
      <c r="N61" s="16" t="str">
        <f>image("https://i.imgur.com/RqSOGo6.png")</f>
        <v/>
      </c>
      <c r="O61" s="20" t="str">
        <f>image("https://pokejungle.net/sprites/shiny/"&amp;N57&amp;".png")</f>
        <v/>
      </c>
      <c r="P61" s="16" t="str">
        <f>image("https://i.imgur.com/beHgI95.png")</f>
        <v/>
      </c>
      <c r="Q61" s="20" t="str">
        <f>image("https://pokejungle.net/sprites/shiny/"&amp;P57&amp;".png")</f>
        <v/>
      </c>
      <c r="R61" s="33"/>
    </row>
    <row r="62" ht="26.25" customHeight="1">
      <c r="A62" s="15"/>
      <c r="B62" s="38" t="str">
        <f>image("https://i.imgur.com/XNzvO0H.png")</f>
        <v/>
      </c>
      <c r="C62" s="36"/>
      <c r="D62" s="46" t="str">
        <f>image("https://i.imgur.com/JOd7Boe.png")</f>
        <v/>
      </c>
      <c r="E62" s="36"/>
      <c r="F62" s="46" t="str">
        <f>image("https://i.imgur.com/XI18XGu.png")</f>
        <v/>
      </c>
      <c r="G62" s="36"/>
      <c r="H62" s="46" t="str">
        <f>image("https://i.imgur.com/XI18XGu.png")</f>
        <v/>
      </c>
      <c r="I62" s="36"/>
      <c r="J62" s="38" t="str">
        <f>image("https://i.imgur.com/XI18XGu.png")</f>
        <v/>
      </c>
      <c r="K62" s="36"/>
      <c r="L62" s="38" t="str">
        <f>image("https://i.imgur.com/rJhTvoD.png")</f>
        <v/>
      </c>
      <c r="M62" s="36"/>
      <c r="N62" s="38" t="str">
        <f>image("https://i.imgur.com/rJhTvoD.png")</f>
        <v/>
      </c>
      <c r="O62" s="36"/>
      <c r="P62" s="38" t="str">
        <f>image("https://i.imgur.com/RqSOGo6.png")</f>
        <v/>
      </c>
      <c r="Q62" s="36"/>
      <c r="R62" s="33"/>
    </row>
    <row r="63" ht="26.25" customHeight="1">
      <c r="A63" s="15"/>
      <c r="B63" s="40"/>
      <c r="C63" s="41"/>
      <c r="D63" s="43"/>
      <c r="E63" s="41"/>
      <c r="F63" s="40" t="str">
        <f>image("https://i.imgur.com/0ArMZjJ.png")</f>
        <v/>
      </c>
      <c r="G63" s="41"/>
      <c r="H63" s="43" t="str">
        <f>image("https://i.imgur.com/JDgAgAO.png")</f>
        <v/>
      </c>
      <c r="I63" s="41"/>
      <c r="J63" s="40" t="str">
        <f>image("https://i.imgur.com/JDgAgAO.png")</f>
        <v/>
      </c>
      <c r="K63" s="41"/>
      <c r="L63" s="43"/>
      <c r="M63" s="41"/>
      <c r="N63" s="40"/>
      <c r="O63" s="41"/>
      <c r="P63" s="40" t="str">
        <f>image("https://i.imgur.com/N2Wqr43.png")</f>
        <v/>
      </c>
      <c r="Q63" s="41"/>
      <c r="R63" s="33"/>
    </row>
    <row r="64" ht="18.75" customHeight="1">
      <c r="A64" s="6"/>
      <c r="B64" s="8" t="s">
        <v>1854</v>
      </c>
      <c r="C64" s="10" t="s">
        <v>1855</v>
      </c>
      <c r="D64" s="8" t="s">
        <v>1856</v>
      </c>
      <c r="E64" s="10" t="s">
        <v>1857</v>
      </c>
      <c r="F64" s="8" t="s">
        <v>1858</v>
      </c>
      <c r="G64" s="10" t="s">
        <v>1859</v>
      </c>
      <c r="H64" s="8" t="s">
        <v>1860</v>
      </c>
      <c r="I64" s="10" t="s">
        <v>1861</v>
      </c>
      <c r="J64" s="8" t="s">
        <v>1862</v>
      </c>
      <c r="K64" s="10" t="s">
        <v>1863</v>
      </c>
      <c r="L64" s="8" t="s">
        <v>1864</v>
      </c>
      <c r="M64" s="10" t="s">
        <v>1865</v>
      </c>
      <c r="N64" s="8" t="s">
        <v>1866</v>
      </c>
      <c r="O64" s="10" t="s">
        <v>1867</v>
      </c>
      <c r="P64" s="8" t="s">
        <v>1868</v>
      </c>
      <c r="Q64" s="10" t="s">
        <v>1869</v>
      </c>
      <c r="R64" s="14"/>
    </row>
    <row r="65" ht="26.25" customHeight="1">
      <c r="A65" s="15"/>
      <c r="B65" s="16" t="str">
        <f>image("https://i.imgur.com/rJhTvoD.png")</f>
        <v/>
      </c>
      <c r="C65" s="20" t="str">
        <f>image("https://pokejungle.net/sprites/normal/"&amp;B64&amp;".png")</f>
        <v/>
      </c>
      <c r="D65" s="16" t="str">
        <f>image("https://i.imgur.com/zpybKax.png")</f>
        <v/>
      </c>
      <c r="E65" s="20" t="str">
        <f>image("https://pokejungle.net/sprites/normal/"&amp;D64&amp;".png")</f>
        <v/>
      </c>
      <c r="F65" s="16" t="str">
        <f>image("https://i.imgur.com/SF5CZ6U.png")</f>
        <v/>
      </c>
      <c r="G65" s="20" t="str">
        <f>image("https://pokejungle.net/sprites/normal/"&amp;F64&amp;".png")</f>
        <v/>
      </c>
      <c r="H65" s="24" t="str">
        <f>image("https://i.imgur.com/XNzvO0H.png")</f>
        <v/>
      </c>
      <c r="I65" s="20" t="str">
        <f>image("https://pokejungle.net/sprites/normal/"&amp;H64&amp;".png")</f>
        <v/>
      </c>
      <c r="J65" s="16" t="str">
        <f>image("https://i.imgur.com/JOd7Boe.png")</f>
        <v/>
      </c>
      <c r="K65" s="20" t="str">
        <f>image("https://pokejungle.net/sprites/normal/"&amp;J64&amp;".png")</f>
        <v/>
      </c>
      <c r="L65" s="28" t="str">
        <f>image("https://i.imgur.com/N2Wqr43.png")</f>
        <v/>
      </c>
      <c r="M65" s="20" t="str">
        <f>image("https://pokejungle.net/sprites/normal/"&amp;L64&amp;".png")</f>
        <v/>
      </c>
      <c r="N65" s="16" t="str">
        <f>image("https://i.imgur.com/N2Wqr43.png")</f>
        <v/>
      </c>
      <c r="O65" s="20" t="str">
        <f>image("https://pokejungle.net/sprites/normal/"&amp;N64&amp;".png")</f>
        <v/>
      </c>
      <c r="P65" s="16" t="str">
        <f>image("https://i.imgur.com/N2Wqr43.png")</f>
        <v/>
      </c>
      <c r="Q65" s="20" t="str">
        <f>image("https://pokejungle.net/sprites/normal/"&amp;P64&amp;".png")</f>
        <v/>
      </c>
      <c r="R65" s="33"/>
    </row>
    <row r="66" ht="26.25" customHeight="1">
      <c r="A66" s="15"/>
      <c r="B66" s="38" t="str">
        <f>image("https://i.imgur.com/beHgI95.png")</f>
        <v/>
      </c>
      <c r="C66" s="36"/>
      <c r="D66" s="35" t="str">
        <f>image("https://i.imgur.com/XNzvO0H.png")</f>
        <v/>
      </c>
      <c r="E66" s="36"/>
      <c r="F66" s="38" t="str">
        <f>image("https://i.imgur.com/JDgAgAO.png")</f>
        <v/>
      </c>
      <c r="G66" s="36"/>
      <c r="H66" s="37"/>
      <c r="I66" s="36"/>
      <c r="J66" s="38" t="str">
        <f>image("https://i.imgur.com/NkILW1J.png")</f>
        <v/>
      </c>
      <c r="K66" s="36"/>
      <c r="L66" s="35" t="str">
        <f>image("https://i.imgur.com/JDgAgAO.png")</f>
        <v/>
      </c>
      <c r="M66" s="36"/>
      <c r="N66" s="38" t="str">
        <f>image("https://i.imgur.com/JDgAgAO.png")</f>
        <v/>
      </c>
      <c r="O66" s="36"/>
      <c r="P66" s="38" t="str">
        <f>image("https://i.imgur.com/JDgAgAO.png")</f>
        <v/>
      </c>
      <c r="Q66" s="36"/>
      <c r="R66" s="33"/>
    </row>
    <row r="67" ht="26.25" customHeight="1">
      <c r="A67" s="15"/>
      <c r="B67" s="40"/>
      <c r="C67" s="41"/>
      <c r="D67" s="40" t="str">
        <f>image("https://i.imgur.com/JDgAgAO.png")</f>
        <v/>
      </c>
      <c r="E67" s="41"/>
      <c r="F67" s="40"/>
      <c r="G67" s="41"/>
      <c r="H67" s="40"/>
      <c r="I67" s="41"/>
      <c r="J67" s="40" t="str">
        <f>image("https://i.imgur.com/0ArMZjJ.png")</f>
        <v/>
      </c>
      <c r="K67" s="41"/>
      <c r="L67" s="43"/>
      <c r="M67" s="41"/>
      <c r="N67" s="40"/>
      <c r="O67" s="41"/>
      <c r="P67" s="40"/>
      <c r="Q67" s="41"/>
      <c r="R67" s="33"/>
    </row>
    <row r="68" ht="26.25" customHeight="1">
      <c r="A68" s="15"/>
      <c r="B68" s="16" t="str">
        <f>image("https://i.imgur.com/JOd7Boe.png")</f>
        <v/>
      </c>
      <c r="C68" s="20" t="str">
        <f>image("https://pokejungle.net/sprites/shiny/"&amp;B64&amp;".png")</f>
        <v/>
      </c>
      <c r="D68" s="16" t="str">
        <f>image("https://i.imgur.com/JOd7Boe.png")</f>
        <v/>
      </c>
      <c r="E68" s="20" t="str">
        <f>image("https://pokejungle.net/sprites/shiny/"&amp;D64&amp;".png")</f>
        <v/>
      </c>
      <c r="F68" s="16" t="str">
        <f>image("https://i.imgur.com/JOd7Boe.png")</f>
        <v/>
      </c>
      <c r="G68" s="20" t="str">
        <f>image("https://pokejungle.net/sprites/shiny/"&amp;F64&amp;".png")</f>
        <v/>
      </c>
      <c r="H68" s="16" t="str">
        <f>image("https://i.imgur.com/JOd7Boe.png")</f>
        <v/>
      </c>
      <c r="I68" s="20" t="str">
        <f>image("https://pokejungle.net/sprites/shiny/"&amp;H64&amp;".png")</f>
        <v/>
      </c>
      <c r="J68" s="16" t="str">
        <f>image("https://i.imgur.com/NkILW1J.png")</f>
        <v/>
      </c>
      <c r="K68" s="20" t="str">
        <f>image("https://pokejungle.net/sprites/shiny/"&amp;J64&amp;".png")</f>
        <v/>
      </c>
      <c r="L68" s="16" t="str">
        <f>image("https://i.imgur.com/JDgAgAO.png")</f>
        <v/>
      </c>
      <c r="M68" s="20" t="str">
        <f>image("https://pokejungle.net/sprites/shiny/"&amp;L64&amp;".png")</f>
        <v/>
      </c>
      <c r="N68" s="16" t="str">
        <f>image("https://i.imgur.com/JDgAgAO.png")</f>
        <v/>
      </c>
      <c r="O68" s="20" t="str">
        <f>image("https://pokejungle.net/sprites/shiny/"&amp;N64&amp;".png")</f>
        <v/>
      </c>
      <c r="P68" s="16" t="str">
        <f>image("https://i.imgur.com/JDgAgAO.png")</f>
        <v/>
      </c>
      <c r="Q68" s="20" t="str">
        <f>image("https://pokejungle.net/sprites/shiny/"&amp;P64&amp;".png")</f>
        <v/>
      </c>
      <c r="R68" s="33"/>
    </row>
    <row r="69" ht="26.25" customHeight="1">
      <c r="A69" s="15"/>
      <c r="B69" s="38" t="str">
        <f>image("https://i.imgur.com/NkILW1J.png")</f>
        <v/>
      </c>
      <c r="C69" s="36"/>
      <c r="D69" s="38" t="str">
        <f>image("https://i.imgur.com/NkILW1J.png")</f>
        <v/>
      </c>
      <c r="E69" s="36"/>
      <c r="F69" s="38" t="str">
        <f>image("https://i.imgur.com/NkILW1J.png")</f>
        <v/>
      </c>
      <c r="G69" s="36"/>
      <c r="H69" s="38" t="str">
        <f>image("https://i.imgur.com/NkILW1J.png")</f>
        <v/>
      </c>
      <c r="I69" s="36"/>
      <c r="J69" s="38" t="str">
        <f>image("https://i.imgur.com/0ArMZjJ.png")</f>
        <v/>
      </c>
      <c r="K69" s="36"/>
      <c r="L69" s="46" t="str">
        <f>image("https://i.imgur.com/zpybKax.png")</f>
        <v/>
      </c>
      <c r="M69" s="36"/>
      <c r="N69" s="38" t="str">
        <f>image("https://i.imgur.com/zpybKax.png")</f>
        <v/>
      </c>
      <c r="O69" s="36"/>
      <c r="P69" s="38" t="str">
        <f>image("https://i.imgur.com/zpybKax.png")</f>
        <v/>
      </c>
      <c r="Q69" s="36"/>
      <c r="R69" s="33"/>
    </row>
    <row r="70" ht="26.25" customHeight="1">
      <c r="A70" s="15"/>
      <c r="B70" s="40"/>
      <c r="C70" s="41"/>
      <c r="D70" s="43"/>
      <c r="E70" s="41"/>
      <c r="F70" s="40"/>
      <c r="G70" s="41"/>
      <c r="H70" s="43"/>
      <c r="I70" s="41"/>
      <c r="J70" s="40"/>
      <c r="K70" s="41"/>
      <c r="L70" s="43"/>
      <c r="M70" s="41"/>
      <c r="N70" s="40"/>
      <c r="O70" s="41"/>
      <c r="P70" s="40" t="str">
        <f>image("https://i.imgur.com/beHgI95.png")</f>
        <v/>
      </c>
      <c r="Q70" s="41"/>
      <c r="R70" s="33"/>
    </row>
    <row r="71" ht="18.75" customHeight="1">
      <c r="A71" s="6"/>
      <c r="B71" s="8" t="s">
        <v>1914</v>
      </c>
      <c r="C71" s="10" t="s">
        <v>1915</v>
      </c>
      <c r="D71" s="8" t="s">
        <v>1916</v>
      </c>
      <c r="E71" s="10" t="s">
        <v>1917</v>
      </c>
      <c r="F71" s="8" t="s">
        <v>1918</v>
      </c>
      <c r="G71" s="10" t="s">
        <v>1919</v>
      </c>
      <c r="H71" s="8" t="s">
        <v>1920</v>
      </c>
      <c r="I71" s="10" t="s">
        <v>1921</v>
      </c>
      <c r="J71" s="8" t="s">
        <v>1922</v>
      </c>
      <c r="K71" s="10" t="s">
        <v>1923</v>
      </c>
      <c r="L71" s="8" t="s">
        <v>1922</v>
      </c>
      <c r="M71" s="10" t="s">
        <v>1924</v>
      </c>
      <c r="N71" s="8" t="s">
        <v>1925</v>
      </c>
      <c r="O71" s="10" t="s">
        <v>1926</v>
      </c>
      <c r="P71" s="8" t="s">
        <v>1927</v>
      </c>
      <c r="Q71" s="10" t="s">
        <v>1928</v>
      </c>
      <c r="R71" s="14"/>
    </row>
    <row r="72" ht="26.25" customHeight="1">
      <c r="A72" s="15"/>
      <c r="B72" s="16" t="str">
        <f>image("https://i.imgur.com/SF5CZ6U.png")</f>
        <v/>
      </c>
      <c r="C72" s="20" t="str">
        <f>image("https://pokejungle.net/sprites/normal/"&amp;B71&amp;".png")</f>
        <v/>
      </c>
      <c r="D72" s="16" t="str">
        <f>image("https://i.imgur.com/SF5CZ6U.png")</f>
        <v/>
      </c>
      <c r="E72" s="20" t="str">
        <f>image("https://pokejungle.net/sprites/normal/"&amp;D71&amp;".png")</f>
        <v/>
      </c>
      <c r="F72" s="16" t="str">
        <f>image("https://i.imgur.com/SF5CZ6U.png")</f>
        <v/>
      </c>
      <c r="G72" s="20" t="str">
        <f>image("https://pokejungle.net/sprites/normal/"&amp;F71&amp;".png")</f>
        <v/>
      </c>
      <c r="H72" s="24" t="str">
        <f>image("https://i.imgur.com/0ArMZjJ.png")</f>
        <v/>
      </c>
      <c r="I72" s="20" t="str">
        <f>image("https://pokejungle.net/sprites/normal/"&amp;H71&amp;".png")</f>
        <v/>
      </c>
      <c r="J72" s="16" t="str">
        <f>image("https://i.imgur.com/beHgI95.png")</f>
        <v/>
      </c>
      <c r="K72" s="20" t="str">
        <f>image("https://pokejungle.net/sprites/normal/"&amp;J71&amp;".png")</f>
        <v/>
      </c>
      <c r="L72" s="28" t="str">
        <f>image("https://i.imgur.com/beHgI95.png")</f>
        <v/>
      </c>
      <c r="M72" s="20" t="str">
        <f>image("https://pokejungle.net/sprites/normal/"&amp;L71&amp;"-1.png")</f>
        <v/>
      </c>
      <c r="N72" s="16" t="str">
        <f>image("https://i.imgur.com/aeqHLEh.png")</f>
        <v/>
      </c>
      <c r="O72" s="20" t="str">
        <f>image("https://pokejungle.net/sprites/normal/"&amp;N71&amp;".png")</f>
        <v/>
      </c>
      <c r="P72" s="16" t="str">
        <f>image("https://i.imgur.com/zpybKax.png")</f>
        <v/>
      </c>
      <c r="Q72" s="20" t="str">
        <f>image("https://pokejungle.net/sprites/normal/"&amp;P71&amp;".png")</f>
        <v/>
      </c>
      <c r="R72" s="33"/>
    </row>
    <row r="73" ht="26.25" customHeight="1">
      <c r="A73" s="15"/>
      <c r="B73" s="38" t="str">
        <f>image("https://i.imgur.com/ef1o2lD.png")</f>
        <v/>
      </c>
      <c r="C73" s="36"/>
      <c r="D73" s="46" t="str">
        <f>image("https://i.imgur.com/bxys1sd.png")</f>
        <v/>
      </c>
      <c r="E73" s="36"/>
      <c r="F73" s="35"/>
      <c r="G73" s="36"/>
      <c r="H73" s="37" t="str">
        <f>image("https://i.imgur.com/beHgI95.png")</f>
        <v/>
      </c>
      <c r="I73" s="36"/>
      <c r="J73" s="38" t="str">
        <f>image("https://i.imgur.com/EkqYYOB.png")</f>
        <v/>
      </c>
      <c r="K73" s="36"/>
      <c r="L73" s="35" t="str">
        <f>image("https://i.imgur.com/EkqYYOB.png")</f>
        <v/>
      </c>
      <c r="M73" s="36"/>
      <c r="N73" s="38"/>
      <c r="O73" s="36"/>
      <c r="P73" s="38"/>
      <c r="Q73" s="36"/>
      <c r="R73" s="33"/>
    </row>
    <row r="74" ht="26.25" customHeight="1">
      <c r="A74" s="15"/>
      <c r="B74" s="40"/>
      <c r="C74" s="41"/>
      <c r="D74" s="40" t="str">
        <f>image("https://i.imgur.com/GyNf8BH.png")</f>
        <v/>
      </c>
      <c r="E74" s="41"/>
      <c r="F74" s="40"/>
      <c r="G74" s="41"/>
      <c r="H74" s="40"/>
      <c r="I74" s="41"/>
      <c r="J74" s="40"/>
      <c r="K74" s="41"/>
      <c r="L74" s="43"/>
      <c r="M74" s="41"/>
      <c r="N74" s="40"/>
      <c r="O74" s="41"/>
      <c r="P74" s="40"/>
      <c r="Q74" s="41"/>
      <c r="R74" s="33"/>
    </row>
    <row r="75" ht="26.25" customHeight="1">
      <c r="A75" s="15"/>
      <c r="B75" s="16" t="str">
        <f>image("https://i.imgur.com/aeqHLEh.png")</f>
        <v/>
      </c>
      <c r="C75" s="20" t="str">
        <f>image("https://pokejungle.net/sprites/shiny/"&amp;B71&amp;".png")</f>
        <v/>
      </c>
      <c r="D75" s="16" t="str">
        <f>image("https://i.imgur.com/aeqHLEh.png")</f>
        <v/>
      </c>
      <c r="E75" s="20" t="str">
        <f>image("https://pokejungle.net/sprites/shiny/"&amp;D71&amp;".png")</f>
        <v/>
      </c>
      <c r="F75" s="16" t="str">
        <f>image("https://i.imgur.com/aeqHLEh.png")</f>
        <v/>
      </c>
      <c r="G75" s="20" t="str">
        <f>image("https://img.pokemondb.net/sprites/home/shiny/eternatus.png")</f>
        <v/>
      </c>
      <c r="H75" s="77" t="s">
        <v>995</v>
      </c>
      <c r="I75" s="20" t="str">
        <f>image("https://img.pokemondb.net/sprites/home/shiny/kubfu.png")</f>
        <v/>
      </c>
      <c r="J75" s="77" t="s">
        <v>995</v>
      </c>
      <c r="K75" s="20" t="str">
        <f>image("https://img.pokemondb.net/sprites/home/shiny/urshifu-single-strike.png")</f>
        <v/>
      </c>
      <c r="L75" s="77" t="s">
        <v>995</v>
      </c>
      <c r="M75" s="20" t="str">
        <f>image("https://img.pokemondb.net/sprites/home/shiny/urshifu-rapid-strike.png")</f>
        <v/>
      </c>
      <c r="N75" s="77" t="s">
        <v>995</v>
      </c>
      <c r="O75" s="20" t="str">
        <f>image("https://img.pokemondb.net/sprites/home/shiny/zarude.png")</f>
        <v/>
      </c>
      <c r="P75" s="16" t="str">
        <f>image("https://i.imgur.com/beHgI95.png")</f>
        <v/>
      </c>
      <c r="Q75" s="20" t="str">
        <f>image("https://pokejungle.net/sprites/shiny/"&amp;P71&amp;".png")</f>
        <v/>
      </c>
      <c r="R75" s="33"/>
    </row>
    <row r="76" ht="26.25" customHeight="1">
      <c r="A76" s="15"/>
      <c r="B76" s="46" t="str">
        <f>image("https://i.imgur.com/0ArMZjJ.png")</f>
        <v/>
      </c>
      <c r="C76" s="36"/>
      <c r="D76" s="46" t="str">
        <f>image("https://i.imgur.com/0ArMZjJ.png")</f>
        <v/>
      </c>
      <c r="E76" s="36"/>
      <c r="F76" s="35"/>
      <c r="G76" s="36"/>
      <c r="H76" s="78"/>
      <c r="I76" s="36"/>
      <c r="J76" s="78"/>
      <c r="K76" s="36"/>
      <c r="L76" s="78"/>
      <c r="M76" s="36"/>
      <c r="N76" s="78"/>
      <c r="O76" s="36"/>
      <c r="P76" s="38" t="str">
        <f>image("https://i.imgur.com/zpybKax.png")</f>
        <v/>
      </c>
      <c r="Q76" s="36"/>
      <c r="R76" s="33"/>
    </row>
    <row r="77" ht="26.25" customHeight="1">
      <c r="A77" s="15"/>
      <c r="B77" s="40" t="str">
        <f>image("https://i.imgur.com/SF5CZ6U.png")</f>
        <v/>
      </c>
      <c r="C77" s="41"/>
      <c r="D77" s="40" t="str">
        <f>image("https://i.imgur.com/bxys1sd.png")</f>
        <v/>
      </c>
      <c r="E77" s="41"/>
      <c r="F77" s="40"/>
      <c r="G77" s="41"/>
      <c r="H77" s="79"/>
      <c r="I77" s="41"/>
      <c r="J77" s="79"/>
      <c r="K77" s="41"/>
      <c r="L77" s="79"/>
      <c r="M77" s="41"/>
      <c r="N77" s="79"/>
      <c r="O77" s="41"/>
      <c r="P77" s="40"/>
      <c r="Q77" s="41"/>
      <c r="R77" s="33"/>
    </row>
    <row r="78" ht="18.75" customHeight="1">
      <c r="A78" s="6"/>
      <c r="B78" s="8" t="s">
        <v>1957</v>
      </c>
      <c r="C78" s="10" t="s">
        <v>1958</v>
      </c>
      <c r="D78" s="8" t="s">
        <v>1959</v>
      </c>
      <c r="E78" s="10" t="s">
        <v>1960</v>
      </c>
      <c r="F78" s="8" t="s">
        <v>1961</v>
      </c>
      <c r="G78" s="10" t="s">
        <v>1962</v>
      </c>
      <c r="H78" s="8" t="s">
        <v>1963</v>
      </c>
      <c r="I78" s="10" t="s">
        <v>1964</v>
      </c>
      <c r="J78" s="8" t="s">
        <v>1963</v>
      </c>
      <c r="K78" s="10" t="s">
        <v>1965</v>
      </c>
      <c r="L78" s="8" t="s">
        <v>1963</v>
      </c>
      <c r="M78" s="10" t="s">
        <v>1966</v>
      </c>
      <c r="N78" s="8" t="s">
        <v>1967</v>
      </c>
      <c r="O78" s="10" t="s">
        <v>1968</v>
      </c>
      <c r="P78" s="8" t="s">
        <v>1969</v>
      </c>
      <c r="Q78" s="10" t="s">
        <v>1970</v>
      </c>
      <c r="R78" s="14"/>
    </row>
    <row r="79" ht="26.25" customHeight="1">
      <c r="A79" s="15"/>
      <c r="B79" s="28" t="str">
        <f>image("https://i.imgur.com/JOd7Boe.png")</f>
        <v/>
      </c>
      <c r="C79" s="20" t="str">
        <f>image("https://pokejungle.net/sprites/normal/"&amp;B78&amp;".png")</f>
        <v/>
      </c>
      <c r="D79" s="16" t="str">
        <f>image("https://i.imgur.com/0ArMZjJ.png")</f>
        <v/>
      </c>
      <c r="E79" s="20" t="str">
        <f>image("https://pokejungle.net/sprites/normal/"&amp;D78&amp;".png")</f>
        <v/>
      </c>
      <c r="F79" s="16" t="str">
        <f>image("https://i.imgur.com/N2Wqr43.png")</f>
        <v/>
      </c>
      <c r="G79" s="20" t="str">
        <f>image("https://pokejungle.net/sprites/normal/"&amp;F78&amp;".png")</f>
        <v/>
      </c>
      <c r="H79" s="24" t="str">
        <f>image("https://i.imgur.com/0ArMZjJ.png")</f>
        <v/>
      </c>
      <c r="I79" s="20" t="str">
        <f>image("https://pokejungle.net/sprites/normal/"&amp;H78&amp;".png")</f>
        <v/>
      </c>
      <c r="J79" s="16" t="str">
        <f>image("https://i.imgur.com/0ArMZjJ.png")</f>
        <v/>
      </c>
      <c r="K79" s="20" t="str">
        <f>image("https://img.pokemondb.net/sprites/home/normal/calyrex-ice-rider.png")</f>
        <v/>
      </c>
      <c r="L79" s="28" t="str">
        <f>image("https://i.imgur.com/N2Wqr43.png")</f>
        <v/>
      </c>
      <c r="M79" s="20" t="str">
        <f>image("https://img.pokemondb.net/sprites/home/normal/calyrex-shadow-rider.png")</f>
        <v/>
      </c>
      <c r="N79" s="16" t="str">
        <f>image("https://i.imgur.com/0ArMZjJ.png")</f>
        <v/>
      </c>
      <c r="O79" s="20" t="str">
        <f>image("https://pokejungle.net/sprites/normal/"&amp;N78&amp;".png")</f>
        <v/>
      </c>
      <c r="P79" s="16" t="str">
        <f>image("https://i.imgur.com/beHgI95.png")</f>
        <v/>
      </c>
      <c r="Q79" s="20" t="str">
        <f>image("https://pokejungle.net/sprites/normal/"&amp;P78&amp;".png")</f>
        <v/>
      </c>
      <c r="R79" s="33"/>
    </row>
    <row r="80" ht="26.25" customHeight="1">
      <c r="A80" s="15"/>
      <c r="B80" s="35" t="str">
        <f>image("https://i.imgur.com/EkqYYOB.png")</f>
        <v/>
      </c>
      <c r="C80" s="36"/>
      <c r="D80" s="35" t="str">
        <f>image("https://i.imgur.com/XNzvO0H.png")</f>
        <v/>
      </c>
      <c r="E80" s="36"/>
      <c r="F80" s="35" t="str">
        <f>image("https://i.imgur.com/EkqYYOB.png")</f>
        <v/>
      </c>
      <c r="G80" s="36"/>
      <c r="H80" s="37" t="str">
        <f>image("https://i.imgur.com/XNzvO0H.png")</f>
        <v/>
      </c>
      <c r="I80" s="36"/>
      <c r="J80" s="38" t="str">
        <f>image("https://i.imgur.com/XNzvO0H.png")</f>
        <v/>
      </c>
      <c r="K80" s="36"/>
      <c r="L80" s="35" t="str">
        <f>image("https://i.imgur.com/EkqYYOB.png")</f>
        <v/>
      </c>
      <c r="M80" s="36"/>
      <c r="N80" s="38" t="str">
        <f>image("https://i.imgur.com/beHgI95.png")</f>
        <v/>
      </c>
      <c r="O80" s="36"/>
      <c r="P80" s="38" t="str">
        <f>image("https://i.imgur.com/lpOVjtL.png")</f>
        <v/>
      </c>
      <c r="Q80" s="36"/>
      <c r="R80" s="33"/>
    </row>
    <row r="81" ht="26.25" customHeight="1">
      <c r="A81" s="15"/>
      <c r="B81" s="40"/>
      <c r="C81" s="41"/>
      <c r="D81" s="40"/>
      <c r="E81" s="41"/>
      <c r="F81" s="40"/>
      <c r="G81" s="41"/>
      <c r="H81" s="40" t="str">
        <f>image("https://i.imgur.com/EkqYYOB.png")</f>
        <v/>
      </c>
      <c r="I81" s="41"/>
      <c r="J81" s="40"/>
      <c r="K81" s="41"/>
      <c r="L81" s="43"/>
      <c r="M81" s="41"/>
      <c r="N81" s="40"/>
      <c r="O81" s="41"/>
      <c r="P81" s="40"/>
      <c r="Q81" s="41"/>
      <c r="R81" s="33"/>
    </row>
    <row r="82" ht="26.25" customHeight="1">
      <c r="A82" s="15"/>
      <c r="B82" s="16" t="str">
        <f>image("https://i.imgur.com/SF5CZ6U.png")</f>
        <v/>
      </c>
      <c r="C82" s="20" t="str">
        <f>image("https://pokejungle.net/sprites/shiny/"&amp;B78&amp;".png")</f>
        <v/>
      </c>
      <c r="D82" s="77" t="s">
        <v>995</v>
      </c>
      <c r="E82" s="20" t="str">
        <f>image("https://img.pokemondb.net/sprites/home/shiny/glastrier.png")</f>
        <v/>
      </c>
      <c r="F82" s="77" t="s">
        <v>995</v>
      </c>
      <c r="G82" s="20" t="str">
        <f>image("https://img.pokemondb.net/sprites/home/shiny/spectrier.png")</f>
        <v/>
      </c>
      <c r="H82" s="77" t="s">
        <v>995</v>
      </c>
      <c r="I82" s="20" t="str">
        <f>image("https://img.pokemondb.net/sprites/home/shiny/calyrex.png")</f>
        <v/>
      </c>
      <c r="J82" s="77" t="s">
        <v>995</v>
      </c>
      <c r="K82" s="20" t="str">
        <f>image("https://img.pokemondb.net/sprites/home/shiny/calyrex-ice-rider.png")</f>
        <v/>
      </c>
      <c r="L82" s="77" t="s">
        <v>995</v>
      </c>
      <c r="M82" s="20" t="str">
        <f>image("https://img.pokemondb.net/sprites/home/shiny/calyrex-shadow-rider.png")</f>
        <v/>
      </c>
      <c r="N82" s="16" t="str">
        <f>image("https://i.imgur.com/beHgI95.png")</f>
        <v/>
      </c>
      <c r="O82" s="20" t="str">
        <f>image("https://pokejungle.net/sprites/shiny/"&amp;N78&amp;".png")</f>
        <v/>
      </c>
      <c r="P82" s="16" t="str">
        <f>image("https://i.imgur.com/N2Wqr43.png")</f>
        <v/>
      </c>
      <c r="Q82" s="20" t="str">
        <f>image("https://pokejungle.net/sprites/shiny/"&amp;P78&amp;".png")</f>
        <v/>
      </c>
      <c r="R82" s="33"/>
    </row>
    <row r="83" ht="26.25" customHeight="1">
      <c r="A83" s="15"/>
      <c r="B83" s="38"/>
      <c r="C83" s="36"/>
      <c r="D83" s="78"/>
      <c r="E83" s="36"/>
      <c r="F83" s="78"/>
      <c r="G83" s="36"/>
      <c r="H83" s="78"/>
      <c r="I83" s="36"/>
      <c r="J83" s="78"/>
      <c r="K83" s="36"/>
      <c r="L83" s="78"/>
      <c r="M83" s="36"/>
      <c r="N83" s="38" t="str">
        <f>image("https://i.imgur.com/EkqYYOB.png")</f>
        <v/>
      </c>
      <c r="O83" s="36"/>
      <c r="P83" s="38" t="str">
        <f>image("https://i.imgur.com/XIu6jDl.png")</f>
        <v/>
      </c>
      <c r="Q83" s="36"/>
      <c r="R83" s="33"/>
    </row>
    <row r="84" ht="26.25" customHeight="1">
      <c r="A84" s="15"/>
      <c r="B84" s="40"/>
      <c r="C84" s="41"/>
      <c r="D84" s="79"/>
      <c r="E84" s="41"/>
      <c r="F84" s="79"/>
      <c r="G84" s="41"/>
      <c r="H84" s="79"/>
      <c r="I84" s="41"/>
      <c r="J84" s="79"/>
      <c r="K84" s="41"/>
      <c r="L84" s="79"/>
      <c r="M84" s="41"/>
      <c r="N84" s="40" t="str">
        <f>image("https://i.imgur.com/rJhTvoD.png")</f>
        <v/>
      </c>
      <c r="O84" s="41"/>
      <c r="P84" s="40" t="str">
        <f>image("https://i.imgur.com/beHgI95.png")</f>
        <v/>
      </c>
      <c r="Q84" s="41"/>
      <c r="R84" s="33"/>
    </row>
    <row r="85" ht="18.75" customHeight="1">
      <c r="A85" s="6"/>
      <c r="B85" s="8" t="s">
        <v>2016</v>
      </c>
      <c r="C85" s="10" t="s">
        <v>2017</v>
      </c>
      <c r="D85" s="8" t="s">
        <v>2016</v>
      </c>
      <c r="E85" s="68" t="s">
        <v>2018</v>
      </c>
      <c r="F85" s="8" t="s">
        <v>2019</v>
      </c>
      <c r="G85" s="68" t="s">
        <v>2020</v>
      </c>
      <c r="H85" s="8" t="s">
        <v>2019</v>
      </c>
      <c r="I85" s="87" t="s">
        <v>2021</v>
      </c>
      <c r="J85" s="8" t="s">
        <v>2022</v>
      </c>
      <c r="K85" s="10" t="s">
        <v>2023</v>
      </c>
      <c r="L85" s="8" t="s">
        <v>2024</v>
      </c>
      <c r="M85" s="10" t="s">
        <v>2025</v>
      </c>
      <c r="N85" s="8" t="s">
        <v>2026</v>
      </c>
      <c r="O85" s="87" t="s">
        <v>2028</v>
      </c>
      <c r="P85" s="8" t="s">
        <v>2026</v>
      </c>
      <c r="Q85" s="10" t="s">
        <v>2031</v>
      </c>
      <c r="R85" s="14"/>
    </row>
    <row r="86" ht="26.25" customHeight="1">
      <c r="A86" s="15"/>
      <c r="B86" s="16" t="str">
        <f>image("https://i.imgur.com/JDgAgAO.png")</f>
        <v/>
      </c>
      <c r="C86" s="20" t="str">
        <f>image("https://pokejungle.net/sprites/normal/"&amp;B85&amp;".png")</f>
        <v/>
      </c>
      <c r="D86" s="16" t="str">
        <f>image("https://i.imgur.com/EkqYYOB.png")</f>
        <v/>
      </c>
      <c r="E86" s="20" t="str">
        <f>image("https://pokejungle.net/sprites/normal/"&amp;D85&amp;"-1.png")</f>
        <v/>
      </c>
      <c r="F86" s="16" t="str">
        <f>image("https://i.imgur.com/JOd7Boe.png")</f>
        <v/>
      </c>
      <c r="G86" s="20" t="str">
        <f>image("https://pokejungle.net/sprites/normal/"&amp;F85&amp;".png")</f>
        <v/>
      </c>
      <c r="H86" s="24" t="str">
        <f>image("https://i.imgur.com/XNzvO0H.png")</f>
        <v/>
      </c>
      <c r="I86" s="20" t="str">
        <f>image("https://pokejungle.net/sprites/normal/"&amp;H85&amp;"-f.png")</f>
        <v/>
      </c>
      <c r="J86" s="16" t="str">
        <f>image("https://i.imgur.com/EkqYYOB.png")</f>
        <v/>
      </c>
      <c r="K86" s="20" t="str">
        <f>image("https://pokejungle.net/sprites/normal/"&amp;J85&amp;".png")</f>
        <v/>
      </c>
      <c r="L86" s="28" t="str">
        <f>image("https://i.imgur.com/nNTmuH8.png")</f>
        <v/>
      </c>
      <c r="M86" s="20" t="str">
        <f>image("https://pokejungle.net/sprites/normal/"&amp;L85&amp;".png")</f>
        <v/>
      </c>
      <c r="N86" s="16" t="str">
        <f>image("https://i.imgur.com/0ArMZjJ.png")</f>
        <v/>
      </c>
      <c r="O86" s="20" t="str">
        <f>image("https://pokejungle.net/sprites/normal/"&amp;N85&amp;".png")</f>
        <v/>
      </c>
      <c r="P86" s="16" t="str">
        <f>image("https://i.imgur.com/0ArMZjJ.png")</f>
        <v/>
      </c>
      <c r="Q86" s="20" t="str">
        <f>image("https://pokejungle.net/sprites/normal/"&amp;P85&amp;"-1.png")</f>
        <v/>
      </c>
      <c r="R86" s="33"/>
    </row>
    <row r="87" ht="26.25" customHeight="1">
      <c r="A87" s="15"/>
      <c r="B87" s="38" t="str">
        <f>image("https://i.imgur.com/EkqYYOB.png")</f>
        <v/>
      </c>
      <c r="C87" s="36"/>
      <c r="D87" s="35" t="str">
        <f>image("https://i.imgur.com/JDgAgAO.png")</f>
        <v/>
      </c>
      <c r="E87" s="36"/>
      <c r="F87" s="35" t="str">
        <f>image("https://i.imgur.com/N2Wqr43.png")</f>
        <v/>
      </c>
      <c r="G87" s="36"/>
      <c r="H87" s="38" t="str">
        <f>image("https://i.imgur.com/JDgAgAO.png")</f>
        <v/>
      </c>
      <c r="I87" s="36"/>
      <c r="J87" s="38" t="str">
        <f>image("https://i.imgur.com/XNzvO0H.png")</f>
        <v/>
      </c>
      <c r="K87" s="36"/>
      <c r="L87" s="35" t="str">
        <f>image("https://i.imgur.com/N2Wqr43.png")</f>
        <v/>
      </c>
      <c r="M87" s="36"/>
      <c r="N87" s="38" t="str">
        <f>image("https://i.imgur.com/eru43o1.png")</f>
        <v/>
      </c>
      <c r="O87" s="36"/>
      <c r="P87" s="38" t="str">
        <f>image("https://i.imgur.com/eru43o1.png")</f>
        <v/>
      </c>
      <c r="Q87" s="36"/>
      <c r="R87" s="33"/>
    </row>
    <row r="88" ht="26.25" customHeight="1">
      <c r="A88" s="15"/>
      <c r="B88" s="40" t="str">
        <f>image("https://i.imgur.com/beHgI95.png")</f>
        <v/>
      </c>
      <c r="C88" s="41"/>
      <c r="D88" s="40" t="str">
        <f>image("https://i.imgur.com/XI18XGu.png")</f>
        <v/>
      </c>
      <c r="E88" s="41"/>
      <c r="F88" s="40"/>
      <c r="G88" s="41"/>
      <c r="H88" s="40"/>
      <c r="I88" s="41"/>
      <c r="J88" s="40"/>
      <c r="K88" s="41"/>
      <c r="L88" s="43" t="str">
        <f>image("https://i.imgur.com/EkqYYOB.png")</f>
        <v/>
      </c>
      <c r="M88" s="41"/>
      <c r="N88" s="40"/>
      <c r="O88" s="41"/>
      <c r="P88" s="40"/>
      <c r="Q88" s="41"/>
      <c r="R88" s="33"/>
    </row>
    <row r="89" ht="26.25" customHeight="1">
      <c r="A89" s="15"/>
      <c r="B89" s="16" t="str">
        <f>image("https://i.imgur.com/JDgAgAO.png")</f>
        <v/>
      </c>
      <c r="C89" s="20" t="str">
        <f>image("https://pokejungle.net/sprites/shiny/"&amp;B85&amp;".png")</f>
        <v/>
      </c>
      <c r="D89" s="77" t="s">
        <v>995</v>
      </c>
      <c r="E89" s="20" t="str">
        <f>image("https://img.pokemondb.net/sprites/home/shiny/ursaluna-bloodmoon.png")</f>
        <v/>
      </c>
      <c r="F89" s="16" t="str">
        <f>image("https://i.imgur.com/N2Wqr43.png")</f>
        <v/>
      </c>
      <c r="G89" s="20" t="str">
        <f>image("https://pokejungle.net/sprites/shiny/"&amp;F85&amp;".png")</f>
        <v/>
      </c>
      <c r="H89" s="16" t="str">
        <f>image("https://i.imgur.com/beHgI95.png")</f>
        <v/>
      </c>
      <c r="I89" s="20" t="str">
        <f>image("https://pokejungle.net/sprites/shiny/"&amp;H85&amp;"-f.png")</f>
        <v/>
      </c>
      <c r="J89" s="16" t="str">
        <f>image("https://i.imgur.com/beHgI95.png")</f>
        <v/>
      </c>
      <c r="K89" s="20" t="str">
        <f>image("https://pokejungle.net/sprites/shiny/"&amp;J85&amp;".png")</f>
        <v/>
      </c>
      <c r="L89" s="16" t="str">
        <f>image("https://i.imgur.com/NkILW1J.png")</f>
        <v/>
      </c>
      <c r="M89" s="20" t="str">
        <f>image("https://pokejungle.net/sprites/shiny/"&amp;L85&amp;".png")</f>
        <v/>
      </c>
      <c r="N89" s="16" t="str">
        <f>image("https://i.imgur.com/aeqHLEh.png")</f>
        <v/>
      </c>
      <c r="O89" s="20" t="str">
        <f>image("https://img.pokemondb.net/sprites/home/shiny/enamorus-incarnate.png")</f>
        <v/>
      </c>
      <c r="P89" s="16" t="str">
        <f>image("https://i.imgur.com/aeqHLEh.png")</f>
        <v/>
      </c>
      <c r="Q89" s="20" t="str">
        <f>image("https://img.pokemondb.net/sprites/home/shiny/enamorus-therian.png")</f>
        <v/>
      </c>
      <c r="R89" s="33"/>
    </row>
    <row r="90" ht="26.25" customHeight="1">
      <c r="A90" s="15"/>
      <c r="B90" s="38" t="str">
        <f>image("https://i.imgur.com/EkqYYOB.png")</f>
        <v/>
      </c>
      <c r="C90" s="36"/>
      <c r="D90" s="78"/>
      <c r="E90" s="36"/>
      <c r="F90" s="35"/>
      <c r="G90" s="36"/>
      <c r="H90" s="46" t="str">
        <f>image("https://i.imgur.com/VQL4lPa.png")</f>
        <v/>
      </c>
      <c r="I90" s="36"/>
      <c r="J90" s="38" t="str">
        <f>image("https://i.imgur.com/EkqYYOB.png")</f>
        <v/>
      </c>
      <c r="K90" s="36"/>
      <c r="L90" s="46" t="str">
        <f>image("https://i.imgur.com/XNzvO0H.png")</f>
        <v/>
      </c>
      <c r="M90" s="36"/>
      <c r="N90" s="38"/>
      <c r="O90" s="36"/>
      <c r="P90" s="38"/>
      <c r="Q90" s="36"/>
      <c r="R90" s="33"/>
    </row>
    <row r="91" ht="26.25" customHeight="1">
      <c r="A91" s="15"/>
      <c r="B91" s="40" t="str">
        <f>image("https://i.imgur.com/beHgI95.png")</f>
        <v/>
      </c>
      <c r="C91" s="41"/>
      <c r="D91" s="79"/>
      <c r="E91" s="41"/>
      <c r="F91" s="40"/>
      <c r="G91" s="41"/>
      <c r="H91" s="40" t="str">
        <f>image("https://i.imgur.com/JDgAgAO.png")</f>
        <v/>
      </c>
      <c r="I91" s="41"/>
      <c r="J91" s="40"/>
      <c r="K91" s="41"/>
      <c r="L91" s="43"/>
      <c r="M91" s="41"/>
      <c r="N91" s="40"/>
      <c r="O91" s="41"/>
      <c r="P91" s="40"/>
      <c r="Q91" s="41"/>
      <c r="R91" s="33"/>
    </row>
    <row r="92" ht="18.75" customHeight="1">
      <c r="A92" s="1"/>
      <c r="B92" s="99"/>
      <c r="C92" s="100"/>
      <c r="D92" s="99"/>
      <c r="E92" s="100"/>
      <c r="F92" s="99"/>
      <c r="G92" s="100"/>
      <c r="H92" s="99"/>
      <c r="I92" s="100"/>
      <c r="J92" s="99"/>
      <c r="K92" s="100"/>
      <c r="L92" s="99"/>
      <c r="M92" s="100"/>
      <c r="N92" s="99"/>
      <c r="O92" s="100"/>
      <c r="P92" s="99"/>
      <c r="Q92" s="100"/>
      <c r="R92" s="1"/>
    </row>
  </sheetData>
  <mergeCells count="218">
    <mergeCell ref="M68:M70"/>
    <mergeCell ref="M72:M74"/>
    <mergeCell ref="O72:O74"/>
    <mergeCell ref="I65:I67"/>
    <mergeCell ref="K65:K67"/>
    <mergeCell ref="M65:M67"/>
    <mergeCell ref="I68:I70"/>
    <mergeCell ref="K68:K70"/>
    <mergeCell ref="I72:I74"/>
    <mergeCell ref="K72:K74"/>
    <mergeCell ref="I5:I7"/>
    <mergeCell ref="I9:I11"/>
    <mergeCell ref="I12:I14"/>
    <mergeCell ref="K12:K14"/>
    <mergeCell ref="I16:I18"/>
    <mergeCell ref="K16:K18"/>
    <mergeCell ref="K19:K21"/>
    <mergeCell ref="K37:K39"/>
    <mergeCell ref="K40:K42"/>
    <mergeCell ref="K44:K46"/>
    <mergeCell ref="K47:K49"/>
    <mergeCell ref="K23:K25"/>
    <mergeCell ref="K30:K32"/>
    <mergeCell ref="M30:M32"/>
    <mergeCell ref="O30:O32"/>
    <mergeCell ref="K33:K35"/>
    <mergeCell ref="O33:O35"/>
    <mergeCell ref="O37:O39"/>
    <mergeCell ref="I19:I21"/>
    <mergeCell ref="I23:I25"/>
    <mergeCell ref="I30:I32"/>
    <mergeCell ref="I33:I35"/>
    <mergeCell ref="I37:I39"/>
    <mergeCell ref="I40:I42"/>
    <mergeCell ref="I44:I46"/>
    <mergeCell ref="K58:K60"/>
    <mergeCell ref="K61:K63"/>
    <mergeCell ref="I47:I49"/>
    <mergeCell ref="I51:I53"/>
    <mergeCell ref="J51:K53"/>
    <mergeCell ref="I54:I56"/>
    <mergeCell ref="J54:K56"/>
    <mergeCell ref="I58:I60"/>
    <mergeCell ref="I61:I63"/>
    <mergeCell ref="O75:O77"/>
    <mergeCell ref="O79:O81"/>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79:Q81"/>
    <mergeCell ref="Q82:Q84"/>
    <mergeCell ref="Q86:Q88"/>
    <mergeCell ref="Q89:Q91"/>
    <mergeCell ref="Q54:Q56"/>
    <mergeCell ref="Q58:Q60"/>
    <mergeCell ref="Q61:Q63"/>
    <mergeCell ref="Q65:Q67"/>
    <mergeCell ref="Q68:Q70"/>
    <mergeCell ref="Q72:Q74"/>
    <mergeCell ref="Q75:Q77"/>
    <mergeCell ref="M58:M60"/>
    <mergeCell ref="M61:M63"/>
    <mergeCell ref="M33:M35"/>
    <mergeCell ref="M37:M39"/>
    <mergeCell ref="M40:M42"/>
    <mergeCell ref="M44:M46"/>
    <mergeCell ref="M47:M49"/>
    <mergeCell ref="M51:M53"/>
    <mergeCell ref="M54:M56"/>
    <mergeCell ref="G65:G67"/>
    <mergeCell ref="G68:G70"/>
    <mergeCell ref="H75:H77"/>
    <mergeCell ref="H82:H84"/>
    <mergeCell ref="G40:G42"/>
    <mergeCell ref="G44:G46"/>
    <mergeCell ref="G47:G49"/>
    <mergeCell ref="G51:G53"/>
    <mergeCell ref="G54:G56"/>
    <mergeCell ref="G58:G60"/>
    <mergeCell ref="G61:G63"/>
    <mergeCell ref="O65:O67"/>
    <mergeCell ref="O68:O70"/>
    <mergeCell ref="O40:O42"/>
    <mergeCell ref="O44:O46"/>
    <mergeCell ref="O47:O49"/>
    <mergeCell ref="O51:O53"/>
    <mergeCell ref="O54:O56"/>
    <mergeCell ref="O58:O60"/>
    <mergeCell ref="O61:O63"/>
    <mergeCell ref="K75:K77"/>
    <mergeCell ref="K79:K81"/>
    <mergeCell ref="K89:K91"/>
    <mergeCell ref="I75:I77"/>
    <mergeCell ref="J75:J77"/>
    <mergeCell ref="L75:L77"/>
    <mergeCell ref="M75:M77"/>
    <mergeCell ref="N75:N77"/>
    <mergeCell ref="I79:I81"/>
    <mergeCell ref="M79:M81"/>
    <mergeCell ref="M82:M84"/>
    <mergeCell ref="M86:M88"/>
    <mergeCell ref="M89:M91"/>
    <mergeCell ref="O89:O91"/>
    <mergeCell ref="I86:I88"/>
    <mergeCell ref="I89:I91"/>
    <mergeCell ref="I82:I84"/>
    <mergeCell ref="J82:J84"/>
    <mergeCell ref="K82:K84"/>
    <mergeCell ref="L82:L84"/>
    <mergeCell ref="O82:O84"/>
    <mergeCell ref="K86:K88"/>
    <mergeCell ref="O86:O88"/>
    <mergeCell ref="G79:G81"/>
    <mergeCell ref="F82:F84"/>
    <mergeCell ref="G82:G84"/>
    <mergeCell ref="E58:E60"/>
    <mergeCell ref="E61:E63"/>
    <mergeCell ref="E65:E67"/>
    <mergeCell ref="E68:E70"/>
    <mergeCell ref="E72:E74"/>
    <mergeCell ref="G72:G74"/>
    <mergeCell ref="G75:G77"/>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E75:E77"/>
    <mergeCell ref="E79:E81"/>
    <mergeCell ref="D82:D84"/>
    <mergeCell ref="E82:E84"/>
    <mergeCell ref="E86:E88"/>
    <mergeCell ref="G86:G88"/>
    <mergeCell ref="C86:C88"/>
    <mergeCell ref="C89:C91"/>
    <mergeCell ref="D89:D91"/>
    <mergeCell ref="E89:E91"/>
    <mergeCell ref="G89:G91"/>
    <mergeCell ref="C61:C63"/>
    <mergeCell ref="C65:C67"/>
    <mergeCell ref="C68:C70"/>
    <mergeCell ref="C72:C74"/>
    <mergeCell ref="C75:C77"/>
    <mergeCell ref="C79:C81"/>
    <mergeCell ref="C82:C84"/>
  </mergeCells>
  <hyperlinks>
    <hyperlink display="Alcremie Forms tab" location="Alcremie!A1" ref="J51"/>
    <hyperlink display="Alcremie Forms tab" location="Alcremie!A1" ref="J54"/>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6"/>
      <c r="B1" s="8" t="s">
        <v>1537</v>
      </c>
      <c r="C1" s="10" t="s">
        <v>1538</v>
      </c>
      <c r="D1" s="8" t="s">
        <v>1539</v>
      </c>
      <c r="E1" s="10" t="s">
        <v>1540</v>
      </c>
      <c r="F1" s="8" t="s">
        <v>1541</v>
      </c>
      <c r="G1" s="10" t="s">
        <v>1544</v>
      </c>
      <c r="H1" s="8" t="s">
        <v>1546</v>
      </c>
      <c r="I1" s="10" t="s">
        <v>1549</v>
      </c>
      <c r="J1" s="8" t="s">
        <v>1551</v>
      </c>
      <c r="K1" s="10" t="s">
        <v>1554</v>
      </c>
      <c r="L1" s="8" t="s">
        <v>1557</v>
      </c>
      <c r="M1" s="10" t="s">
        <v>1559</v>
      </c>
      <c r="N1" s="8" t="s">
        <v>1561</v>
      </c>
      <c r="O1" s="10" t="s">
        <v>1563</v>
      </c>
      <c r="P1" s="8" t="s">
        <v>1565</v>
      </c>
      <c r="Q1" s="10" t="s">
        <v>1567</v>
      </c>
      <c r="R1" s="14"/>
    </row>
    <row r="2" ht="26.25" customHeight="1">
      <c r="A2" s="15"/>
      <c r="B2" s="16" t="str">
        <f>image("https://i.imgur.com/VQL4lPa.png")</f>
        <v/>
      </c>
      <c r="C2" s="20" t="str">
        <f>image("https://pokejungle.net/sprites/normal/"&amp;B1&amp;".png")</f>
        <v/>
      </c>
      <c r="D2" s="16" t="str">
        <f>image("https://i.imgur.com/VQL4lPa.png")</f>
        <v/>
      </c>
      <c r="E2" s="20" t="str">
        <f>image("https://pokejungle.net/sprites/normal/"&amp;D1&amp;".png")</f>
        <v/>
      </c>
      <c r="F2" s="16" t="str">
        <f>image("https://i.imgur.com/VQL4lPa.png")</f>
        <v/>
      </c>
      <c r="G2" s="20" t="str">
        <f>image("https://pokejungle.net/sprites/normal/"&amp;F1&amp;".png")</f>
        <v/>
      </c>
      <c r="H2" s="24" t="str">
        <f>image("https://i.imgur.com/GyNf8BH.png")</f>
        <v/>
      </c>
      <c r="I2" s="20" t="str">
        <f>image("https://pokejungle.net/sprites/normal/"&amp;H1&amp;".png")</f>
        <v/>
      </c>
      <c r="J2" s="24" t="str">
        <f>image("https://i.imgur.com/GyNf8BH.png")</f>
        <v/>
      </c>
      <c r="K2" s="20" t="str">
        <f>image("https://pokejungle.net/sprites/normal/"&amp;J1&amp;".png")</f>
        <v/>
      </c>
      <c r="L2" s="24" t="str">
        <f>image("https://i.imgur.com/GyNf8BH.png")</f>
        <v/>
      </c>
      <c r="M2" s="20" t="str">
        <f>image("https://pokejungle.net/sprites/normal/"&amp;L1&amp;".png")</f>
        <v/>
      </c>
      <c r="N2" s="28" t="str">
        <f>image("https://i.imgur.com/XNzvO0H.png")</f>
        <v/>
      </c>
      <c r="O2" s="20" t="str">
        <f>image("https://pokejungle.net/sprites/normal/"&amp;N1&amp;".png")</f>
        <v/>
      </c>
      <c r="P2" s="28" t="str">
        <f>image("https://i.imgur.com/XNzvO0H.png")</f>
        <v/>
      </c>
      <c r="Q2" s="20" t="str">
        <f>image("https://pokejungle.net/sprites/normal/"&amp;P1&amp;".png")</f>
        <v/>
      </c>
      <c r="R2" s="33"/>
    </row>
    <row r="3" ht="26.25" customHeight="1">
      <c r="A3" s="15"/>
      <c r="B3" s="46" t="str">
        <f>image("https://i.imgur.com/N2Wqr43.png")</f>
        <v/>
      </c>
      <c r="C3" s="36"/>
      <c r="D3" s="46" t="str">
        <f>image("https://i.imgur.com/N2Wqr43.png")</f>
        <v/>
      </c>
      <c r="E3" s="36"/>
      <c r="F3" s="46" t="str">
        <f>image("https://i.imgur.com/N2Wqr43.png")</f>
        <v/>
      </c>
      <c r="G3" s="36"/>
      <c r="H3" s="46" t="str">
        <f>image("https://i.imgur.com/RqSOGo6.png")</f>
        <v/>
      </c>
      <c r="I3" s="36"/>
      <c r="J3" s="46" t="str">
        <f>image("https://i.imgur.com/RqSOGo6.png")</f>
        <v/>
      </c>
      <c r="K3" s="36"/>
      <c r="L3" s="46" t="str">
        <f>image("https://i.imgur.com/RqSOGo6.png")</f>
        <v/>
      </c>
      <c r="M3" s="36"/>
      <c r="N3" s="38" t="str">
        <f>image("https://i.imgur.com/zpybKax.png")</f>
        <v/>
      </c>
      <c r="O3" s="36"/>
      <c r="P3" s="38" t="str">
        <f>image("https://i.imgur.com/zpybKax.png")</f>
        <v/>
      </c>
      <c r="Q3" s="36"/>
      <c r="R3" s="33"/>
    </row>
    <row r="4" ht="26.25" customHeight="1">
      <c r="A4" s="15"/>
      <c r="B4" s="40"/>
      <c r="C4" s="41"/>
      <c r="D4" s="40"/>
      <c r="E4" s="41"/>
      <c r="F4" s="40"/>
      <c r="G4" s="41"/>
      <c r="H4" s="40" t="str">
        <f>image("https://i.imgur.com/lKAfx6k.png")</f>
        <v/>
      </c>
      <c r="I4" s="41"/>
      <c r="J4" s="40" t="str">
        <f>image("https://i.imgur.com/lKAfx6k.png")</f>
        <v/>
      </c>
      <c r="K4" s="41"/>
      <c r="L4" s="40" t="str">
        <f>image("https://i.imgur.com/lKAfx6k.png")</f>
        <v/>
      </c>
      <c r="M4" s="41"/>
      <c r="N4" s="40"/>
      <c r="O4" s="41"/>
      <c r="P4" s="40"/>
      <c r="Q4" s="41"/>
      <c r="R4" s="33"/>
    </row>
    <row r="5" ht="26.25" customHeight="1">
      <c r="A5" s="15"/>
      <c r="B5" s="16" t="str">
        <f>image("https://i.imgur.com/N2Wqr43.png")</f>
        <v/>
      </c>
      <c r="C5" s="20" t="str">
        <f>image("https://pokejungle.net/sprites/shiny/"&amp;B1&amp;".png")</f>
        <v/>
      </c>
      <c r="D5" s="16" t="str">
        <f>image("https://i.imgur.com/N2Wqr43.png")</f>
        <v/>
      </c>
      <c r="E5" s="20" t="str">
        <f>image("https://pokejungle.net/sprites/shiny/"&amp;D1&amp;".png")</f>
        <v/>
      </c>
      <c r="F5" s="16" t="str">
        <f>image("https://i.imgur.com/N2Wqr43.png")</f>
        <v/>
      </c>
      <c r="G5" s="20" t="str">
        <f>image("https://pokejungle.net/sprites/shiny/"&amp;F1&amp;".png")</f>
        <v/>
      </c>
      <c r="H5" s="16" t="str">
        <f>image("https://i.imgur.com/rAI9Gyi.png")</f>
        <v/>
      </c>
      <c r="I5" s="20" t="str">
        <f>image("https://pokejungle.net/sprites/shiny/"&amp;H1&amp;".png")</f>
        <v/>
      </c>
      <c r="J5" s="16" t="str">
        <f>image("https://i.imgur.com/rAI9Gyi.png")</f>
        <v/>
      </c>
      <c r="K5" s="20" t="str">
        <f>image("https://pokejungle.net/sprites/shiny/"&amp;J1&amp;".png")</f>
        <v/>
      </c>
      <c r="L5" s="16" t="str">
        <f>image("https://i.imgur.com/a9HBljD.png")</f>
        <v/>
      </c>
      <c r="M5" s="20" t="str">
        <f>image("https://pokejungle.net/sprites/shiny/"&amp;L1&amp;".png")</f>
        <v/>
      </c>
      <c r="N5" s="28" t="str">
        <f>image("https://i.imgur.com/XNzvO0H.png")</f>
        <v/>
      </c>
      <c r="O5" s="20" t="str">
        <f>image("https://pokejungle.net/sprites/shiny/"&amp;N1&amp;".png")</f>
        <v/>
      </c>
      <c r="P5" s="28" t="str">
        <f>image("https://i.imgur.com/XNzvO0H.png")</f>
        <v/>
      </c>
      <c r="Q5" s="20" t="str">
        <f>image("https://pokejungle.net/sprites/shiny/"&amp;P1&amp;".png")</f>
        <v/>
      </c>
      <c r="R5" s="110"/>
    </row>
    <row r="6" ht="26.25" customHeight="1">
      <c r="A6" s="15"/>
      <c r="B6" s="35" t="str">
        <f>image("https://i.imgur.com/VQL4lPa.png")</f>
        <v/>
      </c>
      <c r="C6" s="36"/>
      <c r="D6" s="35" t="str">
        <f>image("https://i.imgur.com/VQL4lPa.png")</f>
        <v/>
      </c>
      <c r="E6" s="36"/>
      <c r="F6" s="35" t="str">
        <f>image("https://i.imgur.com/VQL4lPa.png")</f>
        <v/>
      </c>
      <c r="G6" s="36"/>
      <c r="H6" s="46" t="str">
        <f>image("https://i.imgur.com/a9HBljD.png")</f>
        <v/>
      </c>
      <c r="I6" s="36"/>
      <c r="J6" s="46" t="str">
        <f>image("https://i.imgur.com/a9HBljD.png")</f>
        <v/>
      </c>
      <c r="K6" s="36"/>
      <c r="L6" s="46" t="str">
        <f>image("https://i.imgur.com/XI18XGu.png")</f>
        <v/>
      </c>
      <c r="M6" s="36"/>
      <c r="N6" s="38" t="str">
        <f>image("https://i.imgur.com/zpybKax.png")</f>
        <v/>
      </c>
      <c r="O6" s="36"/>
      <c r="P6" s="38" t="str">
        <f>image("https://i.imgur.com/zpybKax.png")</f>
        <v/>
      </c>
      <c r="Q6" s="36"/>
      <c r="R6" s="33"/>
    </row>
    <row r="7" ht="26.25" customHeight="1">
      <c r="A7" s="15"/>
      <c r="B7" s="40"/>
      <c r="C7" s="41"/>
      <c r="D7" s="40"/>
      <c r="E7" s="41"/>
      <c r="F7" s="40"/>
      <c r="G7" s="41"/>
      <c r="H7" s="40"/>
      <c r="I7" s="41"/>
      <c r="J7" s="40"/>
      <c r="K7" s="41"/>
      <c r="L7" s="43" t="str">
        <f>image("https://i.imgur.com/rAI9Gyi.png")</f>
        <v/>
      </c>
      <c r="M7" s="41"/>
      <c r="N7" s="40"/>
      <c r="O7" s="41"/>
      <c r="P7" s="40"/>
      <c r="Q7" s="41"/>
      <c r="R7" s="33"/>
    </row>
    <row r="8" ht="18.75" customHeight="1">
      <c r="A8" s="6"/>
      <c r="B8" s="8" t="s">
        <v>1599</v>
      </c>
      <c r="C8" s="10" t="s">
        <v>1600</v>
      </c>
      <c r="D8" s="8" t="s">
        <v>1601</v>
      </c>
      <c r="E8" s="10" t="s">
        <v>1602</v>
      </c>
      <c r="F8" s="8" t="s">
        <v>1603</v>
      </c>
      <c r="G8" s="10" t="s">
        <v>1604</v>
      </c>
      <c r="H8" s="8" t="s">
        <v>1603</v>
      </c>
      <c r="I8" s="68" t="s">
        <v>1605</v>
      </c>
      <c r="J8" s="8" t="s">
        <v>1606</v>
      </c>
      <c r="K8" s="10" t="s">
        <v>1607</v>
      </c>
      <c r="L8" s="8" t="s">
        <v>1608</v>
      </c>
      <c r="M8" s="10" t="s">
        <v>1609</v>
      </c>
      <c r="N8" s="8" t="s">
        <v>1610</v>
      </c>
      <c r="O8" s="10" t="s">
        <v>1611</v>
      </c>
      <c r="P8" s="8" t="s">
        <v>1612</v>
      </c>
      <c r="Q8" s="10" t="s">
        <v>1613</v>
      </c>
      <c r="R8" s="14"/>
    </row>
    <row r="9" ht="26.25" customHeight="1">
      <c r="A9" s="15"/>
      <c r="B9" s="16" t="str">
        <f>image("https://i.imgur.com/SF5CZ6U.png")</f>
        <v/>
      </c>
      <c r="C9" s="20" t="str">
        <f>image("https://pokejungle.net/sprites/normal/"&amp;B8&amp;".png")</f>
        <v/>
      </c>
      <c r="D9" s="16" t="str">
        <f>image("https://i.imgur.com/EkqYYOB.png")</f>
        <v/>
      </c>
      <c r="E9" s="20" t="str">
        <f>image("https://pokejungle.net/sprites/normal/"&amp;D8&amp;".png")</f>
        <v/>
      </c>
      <c r="F9" s="16" t="str">
        <f>image("https://i.imgur.com/EkqYYOB.png")</f>
        <v/>
      </c>
      <c r="G9" s="20" t="str">
        <f>image("https://pokejungle.net/sprites/normal/"&amp;F8&amp;".png")</f>
        <v/>
      </c>
      <c r="H9" s="24" t="str">
        <f>image("https://i.imgur.com/EkqYYOB.png")</f>
        <v/>
      </c>
      <c r="I9" s="20" t="str">
        <f>image("https://pokejungle.net/sprites/normal/"&amp;H8&amp;"-f.png")</f>
        <v/>
      </c>
      <c r="J9" s="16" t="str">
        <f>image("https://i.imgur.com/XIu6jDl.png")</f>
        <v/>
      </c>
      <c r="K9" s="20" t="str">
        <f>image("https://pokejungle.net/sprites/normal/"&amp;J8&amp;".png")</f>
        <v/>
      </c>
      <c r="L9" s="28" t="str">
        <f>image("https://i.imgur.com/XIu6jDl.png")</f>
        <v/>
      </c>
      <c r="M9" s="20" t="str">
        <f>image("https://pokejungle.net/sprites/normal/"&amp;L8&amp;".png")</f>
        <v/>
      </c>
      <c r="N9" s="16" t="str">
        <f>image("https://i.imgur.com/beHgI95.png")</f>
        <v/>
      </c>
      <c r="O9" s="20" t="str">
        <f>image("https://pokejungle.net/sprites/normal/"&amp;N8&amp;".png")</f>
        <v/>
      </c>
      <c r="P9" s="16" t="str">
        <f>image("https://i.imgur.com/beHgI95.png")</f>
        <v/>
      </c>
      <c r="Q9" s="20" t="str">
        <f>image("https://pokejungle.net/sprites/normal/"&amp;P8&amp;".png")</f>
        <v/>
      </c>
      <c r="R9" s="33"/>
    </row>
    <row r="10" ht="26.25" customHeight="1">
      <c r="A10" s="15"/>
      <c r="B10" s="35" t="str">
        <f>image("https://i.imgur.com/ef1o2lD.png")</f>
        <v/>
      </c>
      <c r="C10" s="36"/>
      <c r="D10" s="35"/>
      <c r="E10" s="36"/>
      <c r="F10" s="35"/>
      <c r="G10" s="36"/>
      <c r="H10" s="37"/>
      <c r="I10" s="36"/>
      <c r="J10" s="46" t="str">
        <f>image("https://i.imgur.com/lpOVjtL.png")</f>
        <v/>
      </c>
      <c r="K10" s="36"/>
      <c r="L10" s="46" t="str">
        <f>image("https://i.imgur.com/lpOVjtL.png")</f>
        <v/>
      </c>
      <c r="M10" s="36"/>
      <c r="N10" s="38" t="str">
        <f>image("https://i.imgur.com/JDgAgAO.png")</f>
        <v/>
      </c>
      <c r="O10" s="36"/>
      <c r="P10" s="38" t="str">
        <f>image("https://i.imgur.com/JDgAgAO.png")</f>
        <v/>
      </c>
      <c r="Q10" s="36"/>
      <c r="R10" s="33"/>
    </row>
    <row r="11" ht="26.25" customHeight="1">
      <c r="A11" s="15"/>
      <c r="B11" s="43" t="str">
        <f>image("https://i.imgur.com/XNzvO0H.png")</f>
        <v/>
      </c>
      <c r="C11" s="41"/>
      <c r="D11" s="40"/>
      <c r="E11" s="41"/>
      <c r="F11" s="40"/>
      <c r="G11" s="41"/>
      <c r="H11" s="40"/>
      <c r="I11" s="41"/>
      <c r="J11" s="40"/>
      <c r="K11" s="41"/>
      <c r="L11" s="43"/>
      <c r="M11" s="41"/>
      <c r="N11" s="40"/>
      <c r="O11" s="41"/>
      <c r="P11" s="40"/>
      <c r="Q11" s="41"/>
      <c r="R11" s="33"/>
    </row>
    <row r="12" ht="26.25" customHeight="1">
      <c r="A12" s="15"/>
      <c r="B12" s="16" t="str">
        <f>image("https://i.imgur.com/ef1o2lD.png")</f>
        <v/>
      </c>
      <c r="C12" s="20" t="str">
        <f>image("https://pokejungle.net/sprites/shiny/"&amp;B8&amp;".png")</f>
        <v/>
      </c>
      <c r="D12" s="16" t="str">
        <f>image("https://i.imgur.com/a9HBljD.png")</f>
        <v/>
      </c>
      <c r="E12" s="20" t="str">
        <f>image("https://pokejungle.net/sprites/shiny/"&amp;D8&amp;".png")</f>
        <v/>
      </c>
      <c r="F12" s="16" t="str">
        <f>image("https://i.imgur.com/a9HBljD.png")</f>
        <v/>
      </c>
      <c r="G12" s="20" t="str">
        <f>image("https://pokejungle.net/sprites/shiny/"&amp;F8&amp;".png")</f>
        <v/>
      </c>
      <c r="H12" s="16" t="str">
        <f>image("https://i.imgur.com/a9HBljD.png")</f>
        <v/>
      </c>
      <c r="I12" s="20" t="str">
        <f>image("https://pokejungle.net/sprites/shiny/"&amp;H8&amp;"-f.png")</f>
        <v/>
      </c>
      <c r="J12" s="24" t="str">
        <f>image("https://i.imgur.com/GyNf8BH.png")</f>
        <v/>
      </c>
      <c r="K12" s="20" t="str">
        <f>image("https://pokejungle.net/sprites/shiny/"&amp;J8&amp;".png")</f>
        <v/>
      </c>
      <c r="L12" s="24" t="str">
        <f>image("https://i.imgur.com/GyNf8BH.png")</f>
        <v/>
      </c>
      <c r="M12" s="20" t="str">
        <f>image("https://pokejungle.net/sprites/shiny/"&amp;L8&amp;".png")</f>
        <v/>
      </c>
      <c r="N12" s="16" t="str">
        <f>image("https://i.imgur.com/beHgI95.png")</f>
        <v/>
      </c>
      <c r="O12" s="20" t="str">
        <f>image("https://pokejungle.net/sprites/shiny/"&amp;N8&amp;".png")</f>
        <v/>
      </c>
      <c r="P12" s="16" t="str">
        <f>image("https://i.imgur.com/beHgI95.png")</f>
        <v/>
      </c>
      <c r="Q12" s="20" t="str">
        <f>image("https://pokejungle.net/sprites/shiny/"&amp;P8&amp;".png")</f>
        <v/>
      </c>
      <c r="R12" s="33"/>
    </row>
    <row r="13" ht="26.25" customHeight="1">
      <c r="A13" s="15"/>
      <c r="B13" s="35" t="str">
        <f>image("https://i.imgur.com/XNzvO0H.png")</f>
        <v/>
      </c>
      <c r="C13" s="36"/>
      <c r="D13" s="46" t="str">
        <f>image("https://i.imgur.com/rAI9Gyi.png")</f>
        <v/>
      </c>
      <c r="E13" s="36"/>
      <c r="F13" s="35" t="str">
        <f>image("https://i.imgur.com/0ArMZjJ.png")</f>
        <v/>
      </c>
      <c r="G13" s="36"/>
      <c r="H13" s="46" t="str">
        <f>image("https://i.imgur.com/0ArMZjJ.png")</f>
        <v/>
      </c>
      <c r="I13" s="36"/>
      <c r="J13" s="38" t="str">
        <f>image("https://i.imgur.com/N2Wqr43.png")</f>
        <v/>
      </c>
      <c r="K13" s="36"/>
      <c r="L13" s="46" t="str">
        <f>image("https://i.imgur.com/N2Wqr43.png")</f>
        <v/>
      </c>
      <c r="M13" s="36"/>
      <c r="N13" s="38" t="str">
        <f>image("https://i.imgur.com/EkqYYOB.png")</f>
        <v/>
      </c>
      <c r="O13" s="36"/>
      <c r="P13" s="38" t="str">
        <f>image("https://i.imgur.com/EkqYYOB.png")</f>
        <v/>
      </c>
      <c r="Q13" s="36"/>
      <c r="R13" s="33"/>
    </row>
    <row r="14" ht="26.25" customHeight="1">
      <c r="A14" s="15"/>
      <c r="B14" s="40" t="str">
        <f>image("https://i.imgur.com/SF5CZ6U.png")</f>
        <v/>
      </c>
      <c r="C14" s="41"/>
      <c r="D14" s="43"/>
      <c r="E14" s="41"/>
      <c r="F14" s="40" t="str">
        <f>image("https://i.imgur.com/rAI9Gyi.png")</f>
        <v/>
      </c>
      <c r="G14" s="41"/>
      <c r="H14" s="43" t="str">
        <f>image("https://i.imgur.com/rAI9Gyi.png")</f>
        <v/>
      </c>
      <c r="I14" s="41"/>
      <c r="J14" s="40" t="str">
        <f>image("https://i.imgur.com/JOd7Boe.png")</f>
        <v/>
      </c>
      <c r="K14" s="41"/>
      <c r="L14" s="40" t="str">
        <f>image("https://i.imgur.com/JOd7Boe.png")</f>
        <v/>
      </c>
      <c r="M14" s="41"/>
      <c r="N14" s="40" t="str">
        <f>image("https://i.imgur.com/rJhTvoD.png")</f>
        <v/>
      </c>
      <c r="O14" s="41"/>
      <c r="P14" s="40" t="str">
        <f>image("https://i.imgur.com/rJhTvoD.png")</f>
        <v/>
      </c>
      <c r="Q14" s="41"/>
      <c r="R14" s="110"/>
    </row>
    <row r="15" ht="18.75" customHeight="1">
      <c r="A15" s="6"/>
      <c r="B15" s="8" t="s">
        <v>1646</v>
      </c>
      <c r="C15" s="10" t="s">
        <v>1648</v>
      </c>
      <c r="D15" s="8" t="s">
        <v>1649</v>
      </c>
      <c r="E15" s="10" t="s">
        <v>1651</v>
      </c>
      <c r="F15" s="8" t="s">
        <v>1652</v>
      </c>
      <c r="G15" s="10" t="s">
        <v>1653</v>
      </c>
      <c r="H15" s="8" t="s">
        <v>1655</v>
      </c>
      <c r="I15" s="10" t="s">
        <v>1656</v>
      </c>
      <c r="J15" s="8" t="s">
        <v>1658</v>
      </c>
      <c r="K15" s="10" t="s">
        <v>1659</v>
      </c>
      <c r="L15" s="8" t="s">
        <v>1661</v>
      </c>
      <c r="M15" s="10" t="s">
        <v>1662</v>
      </c>
      <c r="N15" s="8" t="s">
        <v>1664</v>
      </c>
      <c r="O15" s="10" t="s">
        <v>1665</v>
      </c>
      <c r="P15" s="8" t="s">
        <v>1667</v>
      </c>
      <c r="Q15" s="10" t="s">
        <v>1669</v>
      </c>
      <c r="R15" s="14"/>
    </row>
    <row r="16" ht="26.25" customHeight="1">
      <c r="A16" s="15"/>
      <c r="B16" s="16" t="str">
        <f>image("https://i.imgur.com/lKAfx6k.png")</f>
        <v/>
      </c>
      <c r="C16" s="20" t="str">
        <f>image("https://pokejungle.net/sprites/normal/"&amp;B15&amp;".png")</f>
        <v/>
      </c>
      <c r="D16" s="16" t="str">
        <f>image("https://i.imgur.com/lKAfx6k.png")</f>
        <v/>
      </c>
      <c r="E16" s="20" t="str">
        <f>image("https://pokejungle.net/sprites/normal/"&amp;D15&amp;".png")</f>
        <v/>
      </c>
      <c r="F16" s="16" t="str">
        <f>image("https://i.imgur.com/lKAfx6k.png")</f>
        <v/>
      </c>
      <c r="G16" s="20" t="str">
        <f>image("https://pokejungle.net/sprites/normal/"&amp;F15&amp;".png")</f>
        <v/>
      </c>
      <c r="H16" s="24" t="str">
        <f>image("https://i.imgur.com/0ArMZjJ.png")</f>
        <v/>
      </c>
      <c r="I16" s="20" t="str">
        <f>image("https://pokejungle.net/sprites/normal/"&amp;H15&amp;".png")</f>
        <v/>
      </c>
      <c r="J16" s="16" t="str">
        <f>image("https://i.imgur.com/0ArMZjJ.png")</f>
        <v/>
      </c>
      <c r="K16" s="20" t="str">
        <f>image("https://pokejungle.net/sprites/normal/"&amp;J15&amp;"-1.png")</f>
        <v/>
      </c>
      <c r="L16" s="28" t="str">
        <f>image("https://i.imgur.com/beHgI95.png")</f>
        <v/>
      </c>
      <c r="M16" s="20" t="str">
        <f>image("https://pokejungle.net/sprites/normal/"&amp;L15&amp;".png")</f>
        <v/>
      </c>
      <c r="N16" s="16" t="str">
        <f>image("https://i.imgur.com/EkqYYOB.png")</f>
        <v/>
      </c>
      <c r="O16" s="20" t="str">
        <f>image("https://pokejungle.net/sprites/normal/"&amp;N15&amp;".png")</f>
        <v/>
      </c>
      <c r="P16" s="16" t="str">
        <f>image("https://i.imgur.com/XIu6jDl.png")</f>
        <v/>
      </c>
      <c r="Q16" s="20" t="str">
        <f>image("https://pokejungle.net/sprites/normal/"&amp;P15&amp;".png")</f>
        <v/>
      </c>
      <c r="R16" s="33"/>
    </row>
    <row r="17" ht="26.25" customHeight="1">
      <c r="A17" s="15"/>
      <c r="B17" s="38" t="str">
        <f>image("https://i.imgur.com/rJhTvoD.png")</f>
        <v/>
      </c>
      <c r="C17" s="36"/>
      <c r="D17" s="38" t="str">
        <f>image("https://i.imgur.com/rJhTvoD.png")</f>
        <v/>
      </c>
      <c r="E17" s="36"/>
      <c r="F17" s="38" t="str">
        <f>image("https://i.imgur.com/rJhTvoD.png")</f>
        <v/>
      </c>
      <c r="G17" s="36"/>
      <c r="H17" s="37" t="str">
        <f>image("https://i.imgur.com/a9HBljD.png")</f>
        <v/>
      </c>
      <c r="I17" s="36"/>
      <c r="J17" s="38" t="str">
        <f>image("https://i.imgur.com/a9HBljD.png")</f>
        <v/>
      </c>
      <c r="K17" s="36"/>
      <c r="L17" s="35" t="str">
        <f>image("https://i.imgur.com/0ArMZjJ.png")</f>
        <v/>
      </c>
      <c r="M17" s="36"/>
      <c r="N17" s="38" t="str">
        <f>image("https://i.imgur.com/beHgI95.png")</f>
        <v/>
      </c>
      <c r="O17" s="36"/>
      <c r="P17" s="38" t="str">
        <f>image("https://i.imgur.com/VQL4lPa.png")</f>
        <v/>
      </c>
      <c r="Q17" s="36"/>
      <c r="R17" s="33"/>
    </row>
    <row r="18" ht="26.25" customHeight="1">
      <c r="A18" s="15"/>
      <c r="B18" s="40" t="str">
        <f>image("https://i.imgur.com/RqSOGo6.png")</f>
        <v/>
      </c>
      <c r="C18" s="41"/>
      <c r="D18" s="40" t="str">
        <f>image("https://i.imgur.com/beHgI95.png")</f>
        <v/>
      </c>
      <c r="E18" s="41"/>
      <c r="F18" s="40" t="str">
        <f>image("https://i.imgur.com/RqSOGo6.png")</f>
        <v/>
      </c>
      <c r="G18" s="41"/>
      <c r="H18" s="40"/>
      <c r="I18" s="41"/>
      <c r="J18" s="40"/>
      <c r="K18" s="41"/>
      <c r="L18" s="43"/>
      <c r="M18" s="41"/>
      <c r="N18" s="40" t="str">
        <f>image("https://i.imgur.com/JOd7Boe.png")</f>
        <v/>
      </c>
      <c r="O18" s="41"/>
      <c r="P18" s="40"/>
      <c r="Q18" s="41"/>
      <c r="R18" s="33"/>
    </row>
    <row r="19" ht="26.25" customHeight="1">
      <c r="A19" s="15"/>
      <c r="B19" s="16" t="str">
        <f>image("https://i.imgur.com/a9HBljD.png")</f>
        <v/>
      </c>
      <c r="C19" s="20" t="str">
        <f>image("https://pokejungle.net/sprites/shiny/"&amp;B15&amp;".png")</f>
        <v/>
      </c>
      <c r="D19" s="16" t="str">
        <f>image("https://i.imgur.com/rAI9Gyi.png")</f>
        <v/>
      </c>
      <c r="E19" s="20" t="str">
        <f>image("https://pokejungle.net/sprites/shiny/"&amp;D15&amp;".png")</f>
        <v/>
      </c>
      <c r="F19" s="16" t="str">
        <f>image("https://i.imgur.com/a9HBljD.png")</f>
        <v/>
      </c>
      <c r="G19" s="20" t="str">
        <f>image("https://pokejungle.net/sprites/shiny/"&amp;F15&amp;".png")</f>
        <v/>
      </c>
      <c r="H19" s="16" t="str">
        <f>image("https://i.imgur.com/0ArMZjJ.png")</f>
        <v/>
      </c>
      <c r="I19" s="20" t="str">
        <f>image("https://pokejungle.net/sprites/shiny/"&amp;H15&amp;".png")</f>
        <v/>
      </c>
      <c r="J19" s="16" t="str">
        <f>image("https://i.imgur.com/0ArMZjJ.png")</f>
        <v/>
      </c>
      <c r="K19" s="20" t="str">
        <f>image("https://pokejungle.net/sprites/shiny/"&amp;J15&amp;"-1.png")</f>
        <v/>
      </c>
      <c r="L19" s="16" t="str">
        <f>image("https://i.imgur.com/EkqYYOB.png")</f>
        <v/>
      </c>
      <c r="M19" s="20" t="str">
        <f>image("https://pokejungle.net/sprites/shiny/"&amp;L15&amp;".png")</f>
        <v/>
      </c>
      <c r="N19" s="16" t="str">
        <f>image("https://i.imgur.com/EkqYYOB.png")</f>
        <v/>
      </c>
      <c r="O19" s="20" t="str">
        <f>image("https://pokejungle.net/sprites/shiny/"&amp;N15&amp;".png")</f>
        <v/>
      </c>
      <c r="P19" s="28" t="str">
        <f>image("https://i.imgur.com/beHgI95.png")</f>
        <v/>
      </c>
      <c r="Q19" s="20" t="str">
        <f>image("https://pokejungle.net/sprites/shiny/"&amp;P15&amp;".png")</f>
        <v/>
      </c>
      <c r="R19" s="33"/>
    </row>
    <row r="20" ht="26.25" customHeight="1">
      <c r="A20" s="15"/>
      <c r="B20" s="38" t="str">
        <f>image("https://i.imgur.com/rAI9Gyi.png")</f>
        <v/>
      </c>
      <c r="C20" s="36"/>
      <c r="D20" s="46" t="str">
        <f>image("https://i.imgur.com/a9HBljD.png")</f>
        <v/>
      </c>
      <c r="E20" s="36"/>
      <c r="F20" s="38" t="str">
        <f>image("https://i.imgur.com/rAI9Gyi.png")</f>
        <v/>
      </c>
      <c r="G20" s="36"/>
      <c r="H20" s="46" t="str">
        <f>image("https://i.imgur.com/a9HBljD.png")</f>
        <v/>
      </c>
      <c r="I20" s="36"/>
      <c r="J20" s="38" t="str">
        <f>image("https://i.imgur.com/a9HBljD.png")</f>
        <v/>
      </c>
      <c r="K20" s="36"/>
      <c r="L20" s="46" t="str">
        <f>image("https://i.imgur.com/lpOVjtL.png")</f>
        <v/>
      </c>
      <c r="M20" s="36"/>
      <c r="N20" s="38" t="str">
        <f>image("https://i.imgur.com/lpOVjtL.png")</f>
        <v/>
      </c>
      <c r="O20" s="36"/>
      <c r="P20" s="38" t="str">
        <f>image("https://i.imgur.com/VQL4lPa.png")</f>
        <v/>
      </c>
      <c r="Q20" s="36"/>
      <c r="R20" s="33"/>
    </row>
    <row r="21" ht="26.25" customHeight="1">
      <c r="A21" s="15"/>
      <c r="B21" s="40"/>
      <c r="C21" s="41"/>
      <c r="D21" s="43"/>
      <c r="E21" s="41"/>
      <c r="F21" s="40"/>
      <c r="G21" s="41"/>
      <c r="H21" s="43"/>
      <c r="I21" s="41"/>
      <c r="J21" s="40"/>
      <c r="K21" s="41"/>
      <c r="L21" s="43"/>
      <c r="M21" s="41"/>
      <c r="N21" s="40" t="str">
        <f>image("https://i.imgur.com/JOd7Boe.png")</f>
        <v/>
      </c>
      <c r="O21" s="41"/>
      <c r="P21" s="40" t="str">
        <f>image("https://i.imgur.com/XIu6jDl.png")</f>
        <v/>
      </c>
      <c r="Q21" s="41"/>
      <c r="R21" s="33"/>
    </row>
    <row r="22" ht="18.75" customHeight="1">
      <c r="A22" s="6"/>
      <c r="B22" s="8" t="s">
        <v>1702</v>
      </c>
      <c r="C22" s="10" t="s">
        <v>1703</v>
      </c>
      <c r="D22" s="8" t="s">
        <v>1704</v>
      </c>
      <c r="E22" s="10" t="s">
        <v>1705</v>
      </c>
      <c r="F22" s="8" t="s">
        <v>1706</v>
      </c>
      <c r="G22" s="10" t="s">
        <v>1707</v>
      </c>
      <c r="H22" s="8" t="s">
        <v>1706</v>
      </c>
      <c r="I22" s="10" t="s">
        <v>1708</v>
      </c>
      <c r="J22" s="8" t="s">
        <v>1706</v>
      </c>
      <c r="K22" s="10" t="s">
        <v>1709</v>
      </c>
      <c r="L22" s="8" t="s">
        <v>1706</v>
      </c>
      <c r="M22" s="10" t="s">
        <v>1710</v>
      </c>
      <c r="N22" s="8" t="s">
        <v>1711</v>
      </c>
      <c r="O22" s="10" t="s">
        <v>1712</v>
      </c>
      <c r="P22" s="8" t="s">
        <v>1713</v>
      </c>
      <c r="Q22" s="10" t="s">
        <v>1714</v>
      </c>
      <c r="R22" s="14"/>
    </row>
    <row r="23" ht="26.25" customHeight="1">
      <c r="A23" s="15"/>
      <c r="B23" s="16" t="str">
        <f>image("https://i.imgur.com/XIu6jDl.png")</f>
        <v/>
      </c>
      <c r="C23" s="20" t="str">
        <f>image("https://pokejungle.net/sprites/normal/"&amp;B22&amp;".png")</f>
        <v/>
      </c>
      <c r="D23" s="16" t="str">
        <f>image("https://i.imgur.com/XIu6jDl.png")</f>
        <v/>
      </c>
      <c r="E23" s="20" t="str">
        <f>image("https://pokejungle.net/sprites/normal/"&amp;D22&amp;".png")</f>
        <v/>
      </c>
      <c r="F23" s="16" t="str">
        <f>image("https://i.imgur.com/VQL4lPa.png")</f>
        <v/>
      </c>
      <c r="G23" s="20" t="str">
        <f>image("https://pokejungle.net/sprites/normal/"&amp;F22&amp;".png")</f>
        <v/>
      </c>
      <c r="H23" s="24" t="str">
        <f>image("https://i.imgur.com/JDgAgAO.png")</f>
        <v/>
      </c>
      <c r="I23" s="20" t="str">
        <f>image("https://pokejungle.net/sprites/normal/"&amp;H22&amp;"-1.png")</f>
        <v/>
      </c>
      <c r="J23" s="16" t="str">
        <f>image("https://i.imgur.com/beHgI95.png")</f>
        <v/>
      </c>
      <c r="K23" s="20" t="str">
        <f>image("https://pokejungle.net/sprites/normal/"&amp;J22&amp;"-2.png")</f>
        <v/>
      </c>
      <c r="L23" s="28" t="str">
        <f>image("https://i.imgur.com/JOd7Boe.png")</f>
        <v/>
      </c>
      <c r="M23" s="20" t="str">
        <f>image("https://pokejungle.net/sprites/normal/"&amp;L22&amp;"-3.png")</f>
        <v/>
      </c>
      <c r="N23" s="16" t="str">
        <f>image("https://i.imgur.com/0ArMZjJ.png")</f>
        <v/>
      </c>
      <c r="O23" s="20" t="str">
        <f>image("https://pokejungle.net/sprites/normal/"&amp;N22&amp;".png")</f>
        <v/>
      </c>
      <c r="P23" s="16" t="str">
        <f>image("https://i.imgur.com/0ArMZjJ.png")</f>
        <v/>
      </c>
      <c r="Q23" s="20" t="str">
        <f>image("https://pokejungle.net/sprites/normal/"&amp;P22&amp;".png")</f>
        <v/>
      </c>
      <c r="R23" s="33"/>
    </row>
    <row r="24" ht="26.25" customHeight="1">
      <c r="A24" s="15"/>
      <c r="B24" s="38" t="str">
        <f>image("https://i.imgur.com/VQL4lPa.png")</f>
        <v/>
      </c>
      <c r="C24" s="36"/>
      <c r="D24" s="35" t="str">
        <f>image("https://i.imgur.com/VQL4lPa.png")</f>
        <v/>
      </c>
      <c r="E24" s="36"/>
      <c r="F24" s="46" t="str">
        <f>image("https://i.imgur.com/N2Wqr43.png")</f>
        <v/>
      </c>
      <c r="G24" s="36"/>
      <c r="H24" s="37" t="str">
        <f>image("https://i.imgur.com/SF5CZ6U.png")</f>
        <v/>
      </c>
      <c r="I24" s="36"/>
      <c r="J24" s="38" t="str">
        <f>image("https://i.imgur.com/rJhTvoD.png")</f>
        <v/>
      </c>
      <c r="K24" s="36"/>
      <c r="L24" s="35" t="str">
        <f>image("https://i.imgur.com/0ArMZjJ.png")</f>
        <v/>
      </c>
      <c r="M24" s="36"/>
      <c r="N24" s="38" t="str">
        <f>image("https://i.imgur.com/JOd7Boe.png")</f>
        <v/>
      </c>
      <c r="O24" s="36"/>
      <c r="P24" s="38" t="str">
        <f>image("https://i.imgur.com/JOd7Boe.png")</f>
        <v/>
      </c>
      <c r="Q24" s="36"/>
      <c r="R24" s="33"/>
    </row>
    <row r="25" ht="26.25" customHeight="1">
      <c r="A25" s="15"/>
      <c r="B25" s="40"/>
      <c r="C25" s="41"/>
      <c r="D25" s="40"/>
      <c r="E25" s="41"/>
      <c r="F25" s="40"/>
      <c r="G25" s="41"/>
      <c r="H25" s="40"/>
      <c r="I25" s="41"/>
      <c r="J25" s="40"/>
      <c r="K25" s="41"/>
      <c r="L25" s="43"/>
      <c r="M25" s="41"/>
      <c r="N25" s="40"/>
      <c r="O25" s="41"/>
      <c r="P25" s="40"/>
      <c r="Q25" s="41"/>
      <c r="R25" s="33"/>
    </row>
    <row r="26" ht="26.25" customHeight="1">
      <c r="A26" s="15"/>
      <c r="B26" s="28" t="str">
        <f>image("https://i.imgur.com/beHgI95.png")</f>
        <v/>
      </c>
      <c r="C26" s="20" t="str">
        <f>image("https://pokejungle.net/sprites/shiny/"&amp;B22&amp;".png")</f>
        <v/>
      </c>
      <c r="D26" s="28" t="str">
        <f>image("https://i.imgur.com/beHgI95.png")</f>
        <v/>
      </c>
      <c r="E26" s="20" t="str">
        <f>image("https://pokejungle.net/sprites/shiny/"&amp;D22&amp;".png")</f>
        <v/>
      </c>
      <c r="F26" s="16" t="str">
        <f>image("https://i.imgur.com/VQL4lPa.png")</f>
        <v/>
      </c>
      <c r="G26" s="20" t="str">
        <f>image("https://pokejungle.net/sprites/shiny/"&amp;F22&amp;".png")</f>
        <v/>
      </c>
      <c r="H26" s="16" t="str">
        <f>image("https://i.imgur.com/ef1o2lD.png")</f>
        <v/>
      </c>
      <c r="I26" s="20" t="str">
        <f>image("https://pokejungle.net/sprites/shiny/"&amp;H22&amp;"-1.png")</f>
        <v/>
      </c>
      <c r="J26" s="16" t="str">
        <f>image("https://i.imgur.com/rJhTvoD.png")</f>
        <v/>
      </c>
      <c r="K26" s="20" t="str">
        <f>image("https://pokejungle.net/sprites/shiny/"&amp;J22&amp;"-2.png")</f>
        <v/>
      </c>
      <c r="L26" s="16" t="str">
        <f>image("https://i.imgur.com/0ArMZjJ.png")</f>
        <v/>
      </c>
      <c r="M26" s="20" t="str">
        <f>image("https://pokejungle.net/sprites/shiny/"&amp;L22&amp;"-3.png")</f>
        <v/>
      </c>
      <c r="N26" s="16" t="str">
        <f>image("https://i.imgur.com/EkqYYOB.png")</f>
        <v/>
      </c>
      <c r="O26" s="20" t="str">
        <f>image("https://pokejungle.net/sprites/shiny/"&amp;N22&amp;".png")</f>
        <v/>
      </c>
      <c r="P26" s="16" t="str">
        <f>image("https://i.imgur.com/EkqYYOB.png")</f>
        <v/>
      </c>
      <c r="Q26" s="20" t="str">
        <f>image("https://pokejungle.net/sprites/shiny/"&amp;P22&amp;".png")</f>
        <v/>
      </c>
      <c r="R26" s="33"/>
    </row>
    <row r="27" ht="26.25" customHeight="1">
      <c r="A27" s="15"/>
      <c r="B27" s="38" t="str">
        <f>image("https://i.imgur.com/VQL4lPa.png")</f>
        <v/>
      </c>
      <c r="C27" s="36"/>
      <c r="D27" s="46" t="str">
        <f>image("https://i.imgur.com/VQL4lPa.png")</f>
        <v/>
      </c>
      <c r="E27" s="36"/>
      <c r="F27" s="35" t="str">
        <f>image("https://i.imgur.com/XIu6jDl.png")</f>
        <v/>
      </c>
      <c r="G27" s="36"/>
      <c r="H27" s="37" t="str">
        <f>image("https://i.imgur.com/SF5CZ6U.png")</f>
        <v/>
      </c>
      <c r="I27" s="36"/>
      <c r="J27" s="38" t="str">
        <f>image("https://i.imgur.com/beHgI95.png")</f>
        <v/>
      </c>
      <c r="K27" s="36"/>
      <c r="L27" s="37" t="str">
        <f>image("https://i.imgur.com/a9HBljD.png")</f>
        <v/>
      </c>
      <c r="M27" s="36"/>
      <c r="N27" s="38" t="str">
        <f>image("https://i.imgur.com/rJhTvoD.png")</f>
        <v/>
      </c>
      <c r="O27" s="36"/>
      <c r="P27" s="38" t="str">
        <f>image("https://i.imgur.com/rJhTvoD.png")</f>
        <v/>
      </c>
      <c r="Q27" s="36"/>
      <c r="R27" s="33"/>
    </row>
    <row r="28" ht="26.25" customHeight="1">
      <c r="A28" s="15"/>
      <c r="B28" s="40" t="str">
        <f>image("https://i.imgur.com/XIu6jDl.png")</f>
        <v/>
      </c>
      <c r="C28" s="41"/>
      <c r="D28" s="40" t="str">
        <f>image("https://i.imgur.com/XIu6jDl.png")</f>
        <v/>
      </c>
      <c r="E28" s="41"/>
      <c r="F28" s="40"/>
      <c r="G28" s="41"/>
      <c r="H28" s="43"/>
      <c r="I28" s="41"/>
      <c r="J28" s="40"/>
      <c r="K28" s="41"/>
      <c r="L28" s="43"/>
      <c r="M28" s="41"/>
      <c r="N28" s="40"/>
      <c r="O28" s="41"/>
      <c r="P28" s="40"/>
      <c r="Q28" s="41"/>
      <c r="R28" s="33"/>
    </row>
    <row r="29" ht="18.75" customHeight="1">
      <c r="A29" s="6"/>
      <c r="B29" s="8" t="s">
        <v>1762</v>
      </c>
      <c r="C29" s="10" t="s">
        <v>1763</v>
      </c>
      <c r="D29" s="8" t="s">
        <v>1764</v>
      </c>
      <c r="E29" s="10" t="s">
        <v>1765</v>
      </c>
      <c r="F29" s="8" t="s">
        <v>1766</v>
      </c>
      <c r="G29" s="10" t="s">
        <v>1767</v>
      </c>
      <c r="H29" s="8" t="s">
        <v>1768</v>
      </c>
      <c r="I29" s="10" t="s">
        <v>1769</v>
      </c>
      <c r="J29" s="8" t="s">
        <v>1770</v>
      </c>
      <c r="K29" s="10" t="s">
        <v>1771</v>
      </c>
      <c r="L29" s="8" t="s">
        <v>1772</v>
      </c>
      <c r="M29" s="10" t="s">
        <v>1773</v>
      </c>
      <c r="N29" s="8" t="s">
        <v>1774</v>
      </c>
      <c r="O29" s="10" t="s">
        <v>1775</v>
      </c>
      <c r="P29" s="8" t="s">
        <v>1776</v>
      </c>
      <c r="Q29" s="10" t="s">
        <v>1777</v>
      </c>
      <c r="R29" s="14"/>
    </row>
    <row r="30" ht="26.25" customHeight="1">
      <c r="A30" s="15"/>
      <c r="B30" s="16" t="str">
        <f>image("https://i.imgur.com/0ArMZjJ.png")</f>
        <v/>
      </c>
      <c r="C30" s="20" t="str">
        <f>image("https://pokejungle.net/sprites/normal/"&amp;B29&amp;".png")</f>
        <v/>
      </c>
      <c r="D30" s="16" t="str">
        <f>image("https://i.imgur.com/RqSOGo6.png")</f>
        <v/>
      </c>
      <c r="E30" s="20" t="str">
        <f>image("https://pokejungle.net/sprites/normal/"&amp;D29&amp;".png")</f>
        <v/>
      </c>
      <c r="F30" s="16" t="str">
        <f>image("https://i.imgur.com/rJhTvoD.png")</f>
        <v/>
      </c>
      <c r="G30" s="20" t="str">
        <f>image("https://pokejungle.net/sprites/normal/"&amp;F29&amp;".png")</f>
        <v/>
      </c>
      <c r="H30" s="16" t="str">
        <f>image("https://i.imgur.com/XI18XGu.png")</f>
        <v/>
      </c>
      <c r="I30" s="20" t="str">
        <f>image("https://pokejungle.net/sprites/normal/"&amp;H29&amp;".png")</f>
        <v/>
      </c>
      <c r="J30" s="16" t="str">
        <f>image("https://i.imgur.com/beHgI95.png")</f>
        <v/>
      </c>
      <c r="K30" s="20" t="str">
        <f>image("https://pokejungle.net/sprites/normal/"&amp;J29&amp;".png")</f>
        <v/>
      </c>
      <c r="L30" s="28" t="str">
        <f>image("https://i.imgur.com/VQL4lPa.png")</f>
        <v/>
      </c>
      <c r="M30" s="20" t="str">
        <f>image("https://pokejungle.net/sprites/normal/"&amp;L29&amp;".png")</f>
        <v/>
      </c>
      <c r="N30" s="16" t="str">
        <f>image("https://i.imgur.com/beHgI95.png")</f>
        <v/>
      </c>
      <c r="O30" s="20" t="str">
        <f>image("https://pokejungle.net/sprites/normal/"&amp;N29&amp;".png")</f>
        <v/>
      </c>
      <c r="P30" s="16" t="str">
        <f>image("https://i.imgur.com/beHgI95.png")</f>
        <v/>
      </c>
      <c r="Q30" s="20" t="str">
        <f>image("https://pokejungle.net/sprites/normal/"&amp;P29&amp;".png")</f>
        <v/>
      </c>
      <c r="R30" s="33"/>
    </row>
    <row r="31" ht="26.25" customHeight="1">
      <c r="A31" s="15"/>
      <c r="B31" s="38" t="str">
        <f>image("https://i.imgur.com/JOd7Boe.png")</f>
        <v/>
      </c>
      <c r="C31" s="36"/>
      <c r="D31" s="35" t="str">
        <f>image("https://i.imgur.com/N2Wqr43.png")</f>
        <v/>
      </c>
      <c r="E31" s="36"/>
      <c r="F31" s="35" t="str">
        <f>image("https://i.imgur.com/RqSOGo6.png")</f>
        <v/>
      </c>
      <c r="G31" s="36"/>
      <c r="H31" s="38" t="str">
        <f>image("https://i.imgur.com/nNTmuH8.png")</f>
        <v/>
      </c>
      <c r="I31" s="36"/>
      <c r="J31" s="38" t="str">
        <f>image("https://i.imgur.com/RqSOGo6.png")</f>
        <v/>
      </c>
      <c r="K31" s="36"/>
      <c r="L31" s="38" t="str">
        <f>image("https://i.imgur.com/N2Wqr43.png")</f>
        <v/>
      </c>
      <c r="M31" s="36"/>
      <c r="N31" s="38" t="str">
        <f>image("https://i.imgur.com/rJhTvoD.png")</f>
        <v/>
      </c>
      <c r="O31" s="36"/>
      <c r="P31" s="38" t="str">
        <f>image("https://i.imgur.com/rJhTvoD.png")</f>
        <v/>
      </c>
      <c r="Q31" s="36"/>
      <c r="R31" s="33"/>
    </row>
    <row r="32" ht="26.25" customHeight="1">
      <c r="A32" s="15"/>
      <c r="B32" s="40"/>
      <c r="C32" s="41"/>
      <c r="D32" s="40" t="str">
        <f>image("https://i.imgur.com/rJhTvoD.png")</f>
        <v/>
      </c>
      <c r="E32" s="41"/>
      <c r="F32" s="40" t="str">
        <f>image("https://i.imgur.com/lKAfx6k.png")</f>
        <v/>
      </c>
      <c r="G32" s="41"/>
      <c r="H32" s="40" t="str">
        <f>image("https://i.imgur.com/N2Wqr43.png")</f>
        <v/>
      </c>
      <c r="I32" s="41"/>
      <c r="J32" s="40" t="str">
        <f t="shared" ref="J32:J33" si="1">image("https://i.imgur.com/rJhTvoD.png")</f>
        <v/>
      </c>
      <c r="K32" s="41"/>
      <c r="L32" s="43" t="str">
        <f>image("https://i.imgur.com/XzidFHI.png")</f>
        <v/>
      </c>
      <c r="M32" s="41"/>
      <c r="N32" s="40"/>
      <c r="O32" s="41"/>
      <c r="P32" s="40"/>
      <c r="Q32" s="41"/>
      <c r="R32" s="33"/>
    </row>
    <row r="33" ht="26.25" customHeight="1">
      <c r="A33" s="15"/>
      <c r="B33" s="16" t="str">
        <f>image("https://i.imgur.com/EkqYYOB.png")</f>
        <v/>
      </c>
      <c r="C33" s="20" t="str">
        <f>image("https://pokejungle.net/sprites/shiny/"&amp;B29&amp;".png")</f>
        <v/>
      </c>
      <c r="D33" s="16" t="str">
        <f>image("https://i.imgur.com/RqSOGo6.png")</f>
        <v/>
      </c>
      <c r="E33" s="20" t="str">
        <f>image("https://pokejungle.net/sprites/shiny/"&amp;D29&amp;".png")</f>
        <v/>
      </c>
      <c r="F33" s="16" t="str">
        <f>image("https://i.imgur.com/rJhTvoD.png")</f>
        <v/>
      </c>
      <c r="G33" s="20" t="str">
        <f>image("https://pokejungle.net/sprites/shiny/"&amp;F29&amp;".png")</f>
        <v/>
      </c>
      <c r="H33" s="16" t="str">
        <f>image("https://i.imgur.com/XI18XGu.png")</f>
        <v/>
      </c>
      <c r="I33" s="20" t="str">
        <f>image("https://pokejungle.net/sprites/shiny/"&amp;H29&amp;".png")</f>
        <v/>
      </c>
      <c r="J33" s="16" t="str">
        <f t="shared" si="1"/>
        <v/>
      </c>
      <c r="K33" s="20" t="str">
        <f>image("https://pokejungle.net/sprites/shiny/"&amp;J29&amp;".png")</f>
        <v/>
      </c>
      <c r="L33" s="16" t="str">
        <f>image("https://i.imgur.com/rJhTvoD.png")</f>
        <v/>
      </c>
      <c r="M33" s="20" t="str">
        <f>image("https://pokejungle.net/sprites/shiny/"&amp;L29&amp;".png")</f>
        <v/>
      </c>
      <c r="N33" s="16" t="str">
        <f>image("https://i.imgur.com/rJhTvoD.png")</f>
        <v/>
      </c>
      <c r="O33" s="20" t="str">
        <f>image("https://pokejungle.net/sprites/shiny/"&amp;N29&amp;".png")</f>
        <v/>
      </c>
      <c r="P33" s="16" t="str">
        <f>image("https://i.imgur.com/rJhTvoD.png")</f>
        <v/>
      </c>
      <c r="Q33" s="20" t="str">
        <f>image("https://pokejungle.net/sprites/shiny/"&amp;P29&amp;".png")</f>
        <v/>
      </c>
      <c r="R33" s="33"/>
    </row>
    <row r="34" ht="26.25" customHeight="1">
      <c r="A34" s="15"/>
      <c r="B34" s="38" t="str">
        <f>image("https://i.imgur.com/rJhTvoD.png")</f>
        <v/>
      </c>
      <c r="C34" s="36"/>
      <c r="D34" s="46" t="str">
        <f>image("https://i.imgur.com/N2Wqr43.png")</f>
        <v/>
      </c>
      <c r="E34" s="36"/>
      <c r="F34" s="35" t="str">
        <f>image("https://i.imgur.com/RqSOGo6.png")</f>
        <v/>
      </c>
      <c r="G34" s="36"/>
      <c r="H34" s="38" t="str">
        <f>image("https://i.imgur.com/nNTmuH8.png")</f>
        <v/>
      </c>
      <c r="I34" s="36"/>
      <c r="J34" s="38" t="str">
        <f>image("https://i.imgur.com/RqSOGo6.png")</f>
        <v/>
      </c>
      <c r="K34" s="36"/>
      <c r="L34" s="38" t="str">
        <f>image("https://i.imgur.com/RqSOGo6.png")</f>
        <v/>
      </c>
      <c r="M34" s="36"/>
      <c r="N34" s="38" t="str">
        <f>image("https://i.imgur.com/beHgI95.png")</f>
        <v/>
      </c>
      <c r="O34" s="36"/>
      <c r="P34" s="38" t="str">
        <f>image("https://i.imgur.com/beHgI95.png")</f>
        <v/>
      </c>
      <c r="Q34" s="36"/>
      <c r="R34" s="33"/>
    </row>
    <row r="35" ht="26.25" customHeight="1">
      <c r="A35" s="15"/>
      <c r="B35" s="40"/>
      <c r="C35" s="41"/>
      <c r="D35" s="40" t="str">
        <f>image("https://i.imgur.com/rJhTvoD.png")</f>
        <v/>
      </c>
      <c r="E35" s="41"/>
      <c r="F35" s="40" t="str">
        <f>image("https://i.imgur.com/lKAfx6k.png")</f>
        <v/>
      </c>
      <c r="G35" s="41"/>
      <c r="H35" s="40" t="str">
        <f>image("https://i.imgur.com/N2Wqr43.png")</f>
        <v/>
      </c>
      <c r="I35" s="41"/>
      <c r="J35" s="40" t="str">
        <f>image("https://i.imgur.com/beHgI95.png")</f>
        <v/>
      </c>
      <c r="K35" s="41"/>
      <c r="L35" s="40" t="str">
        <f>image("https://i.imgur.com/beHgI95.png")</f>
        <v/>
      </c>
      <c r="M35" s="41"/>
      <c r="N35" s="40"/>
      <c r="O35" s="41"/>
      <c r="P35" s="40"/>
      <c r="Q35" s="41"/>
      <c r="R35" s="33"/>
    </row>
    <row r="36" ht="18.75" customHeight="1">
      <c r="A36" s="6"/>
      <c r="B36" s="8" t="s">
        <v>1825</v>
      </c>
      <c r="C36" s="10" t="s">
        <v>1826</v>
      </c>
      <c r="D36" s="8" t="s">
        <v>1827</v>
      </c>
      <c r="E36" s="10" t="s">
        <v>1828</v>
      </c>
      <c r="F36" s="8" t="s">
        <v>1829</v>
      </c>
      <c r="G36" s="10" t="s">
        <v>1830</v>
      </c>
      <c r="H36" s="8" t="s">
        <v>1831</v>
      </c>
      <c r="I36" s="10" t="s">
        <v>1832</v>
      </c>
      <c r="J36" s="8" t="s">
        <v>1833</v>
      </c>
      <c r="K36" s="10" t="s">
        <v>1834</v>
      </c>
      <c r="L36" s="8" t="s">
        <v>1835</v>
      </c>
      <c r="M36" s="10" t="s">
        <v>1836</v>
      </c>
      <c r="N36" s="8" t="s">
        <v>1837</v>
      </c>
      <c r="O36" s="10" t="s">
        <v>1838</v>
      </c>
      <c r="P36" s="8" t="s">
        <v>1839</v>
      </c>
      <c r="Q36" s="10" t="s">
        <v>1840</v>
      </c>
      <c r="R36" s="14"/>
    </row>
    <row r="37" ht="26.25" customHeight="1">
      <c r="A37" s="15"/>
      <c r="B37" s="16" t="str">
        <f>image("https://i.imgur.com/EkqYYOB.png")</f>
        <v/>
      </c>
      <c r="C37" s="20" t="str">
        <f>image("https://pokejungle.net/sprites/normal/"&amp;B36&amp;".png")</f>
        <v/>
      </c>
      <c r="D37" s="16" t="str">
        <f>image("https://i.imgur.com/EkqYYOB.png")</f>
        <v/>
      </c>
      <c r="E37" s="20" t="str">
        <f>image("https://pokejungle.net/sprites/normal/"&amp;D36&amp;".png")</f>
        <v/>
      </c>
      <c r="F37" s="16" t="str">
        <f>image("https://i.imgur.com/JOd7Boe.png")</f>
        <v/>
      </c>
      <c r="G37" s="20" t="str">
        <f>image("https://pokejungle.net/sprites/normal/"&amp;F36&amp;".png")</f>
        <v/>
      </c>
      <c r="H37" s="16" t="str">
        <f>image("https://i.imgur.com/JOd7Boe.png")</f>
        <v/>
      </c>
      <c r="I37" s="20" t="str">
        <f>image("https://pokejungle.net/sprites/normal/"&amp;H36&amp;".png")</f>
        <v/>
      </c>
      <c r="J37" s="16" t="str">
        <f>image("https://i.imgur.com/rJhTvoD.png")</f>
        <v/>
      </c>
      <c r="K37" s="20" t="str">
        <f>image("https://pokejungle.net/sprites/normal/"&amp;J36&amp;".png")</f>
        <v/>
      </c>
      <c r="L37" s="16" t="str">
        <f>image("https://i.imgur.com/rJhTvoD.png")</f>
        <v/>
      </c>
      <c r="M37" s="20" t="str">
        <f>image("https://pokejungle.net/sprites/normal/"&amp;L36&amp;".png")</f>
        <v/>
      </c>
      <c r="N37" s="16" t="str">
        <f>image("https://i.imgur.com/lKAfx6k.png")</f>
        <v/>
      </c>
      <c r="O37" s="20" t="str">
        <f>image("https://pokejungle.net/sprites/normal/"&amp;N36&amp;".png")</f>
        <v/>
      </c>
      <c r="P37" s="16" t="str">
        <f>image("https://i.imgur.com/rJhTvoD.png")</f>
        <v/>
      </c>
      <c r="Q37" s="20" t="str">
        <f>image("https://pokejungle.net/sprites/normal/"&amp;P36&amp;".png")</f>
        <v/>
      </c>
      <c r="R37" s="33"/>
    </row>
    <row r="38" ht="26.25" customHeight="1">
      <c r="A38" s="15"/>
      <c r="B38" s="38" t="str">
        <f>image("https://i.imgur.com/beHgI95.png")</f>
        <v/>
      </c>
      <c r="C38" s="36"/>
      <c r="D38" s="35" t="str">
        <f>image("https://i.imgur.com/beHgI95.png")</f>
        <v/>
      </c>
      <c r="E38" s="36"/>
      <c r="F38" s="35" t="str">
        <f>image("https://i.imgur.com/N2Wqr43.png")</f>
        <v/>
      </c>
      <c r="G38" s="36"/>
      <c r="H38" s="38" t="str">
        <f>image("https://i.imgur.com/SF5CZ6U.png")</f>
        <v/>
      </c>
      <c r="I38" s="36"/>
      <c r="J38" s="38" t="str">
        <f>image("https://i.imgur.com/N2Wqr43.png")</f>
        <v/>
      </c>
      <c r="K38" s="36"/>
      <c r="L38" s="35" t="str">
        <f>image("https://i.imgur.com/N2Wqr43.png")</f>
        <v/>
      </c>
      <c r="M38" s="36"/>
      <c r="N38" s="38" t="str">
        <f>image("https://i.imgur.com/beHgI95.png")</f>
        <v/>
      </c>
      <c r="O38" s="36"/>
      <c r="P38" s="38" t="str">
        <f>image("https://i.imgur.com/beHgI95.png")</f>
        <v/>
      </c>
      <c r="Q38" s="36"/>
      <c r="R38" s="33"/>
    </row>
    <row r="39" ht="26.25" customHeight="1">
      <c r="A39" s="15"/>
      <c r="B39" s="40"/>
      <c r="C39" s="41"/>
      <c r="D39" s="40"/>
      <c r="E39" s="41"/>
      <c r="F39" s="40"/>
      <c r="G39" s="41"/>
      <c r="H39" s="40" t="str">
        <f>image("https://i.imgur.com/N2Wqr43.png")</f>
        <v/>
      </c>
      <c r="I39" s="41"/>
      <c r="J39" s="40" t="str">
        <f t="shared" ref="J39:J40" si="2">image("https://i.imgur.com/XIu6jDl.png")</f>
        <v/>
      </c>
      <c r="K39" s="41"/>
      <c r="L39" s="43" t="str">
        <f t="shared" ref="L39:L40" si="3">image("https://i.imgur.com/XIu6jDl.png")</f>
        <v/>
      </c>
      <c r="M39" s="41"/>
      <c r="N39" s="40" t="str">
        <f>image("https://i.imgur.com/rJhTvoD.png")</f>
        <v/>
      </c>
      <c r="O39" s="41"/>
      <c r="P39" s="40" t="str">
        <f>image("https://i.imgur.com/lKAfx6k.png")</f>
        <v/>
      </c>
      <c r="Q39" s="41"/>
      <c r="R39" s="33"/>
    </row>
    <row r="40" ht="26.25" customHeight="1">
      <c r="A40" s="15"/>
      <c r="B40" s="16" t="str">
        <f>image("https://i.imgur.com/EkqYYOB.png")</f>
        <v/>
      </c>
      <c r="C40" s="20" t="str">
        <f>image("https://pokejungle.net/sprites/shiny/"&amp;B36&amp;".png")</f>
        <v/>
      </c>
      <c r="D40" s="16" t="str">
        <f>image("https://i.imgur.com/EkqYYOB.png")</f>
        <v/>
      </c>
      <c r="E40" s="20" t="str">
        <f>image("https://pokejungle.net/sprites/shiny/"&amp;D36&amp;".png")</f>
        <v/>
      </c>
      <c r="F40" s="16" t="str">
        <f>image("https://i.imgur.com/JOd7Boe.png")</f>
        <v/>
      </c>
      <c r="G40" s="20" t="str">
        <f>image("https://pokejungle.net/sprites/shiny/"&amp;F36&amp;".png")</f>
        <v/>
      </c>
      <c r="H40" s="16" t="str">
        <f>image("https://i.imgur.com/JOd7Boe.png")</f>
        <v/>
      </c>
      <c r="I40" s="20" t="str">
        <f>image("https://pokejungle.net/sprites/shiny/"&amp;H36&amp;".png")</f>
        <v/>
      </c>
      <c r="J40" s="16" t="str">
        <f t="shared" si="2"/>
        <v/>
      </c>
      <c r="K40" s="20" t="str">
        <f>image("https://pokejungle.net/sprites/shiny/"&amp;J36&amp;".png")</f>
        <v/>
      </c>
      <c r="L40" s="16" t="str">
        <f t="shared" si="3"/>
        <v/>
      </c>
      <c r="M40" s="20" t="str">
        <f>image("https://pokejungle.net/sprites/shiny/"&amp;L36&amp;".png")</f>
        <v/>
      </c>
      <c r="N40" s="16" t="str">
        <f>image("https://i.imgur.com/0ArMZjJ.png")</f>
        <v/>
      </c>
      <c r="O40" s="20" t="str">
        <f>image("https://pokejungle.net/sprites/shiny/"&amp;N36&amp;".png")</f>
        <v/>
      </c>
      <c r="P40" s="16" t="str">
        <f>image("https://i.imgur.com/JOd7Boe.png")</f>
        <v/>
      </c>
      <c r="Q40" s="20" t="str">
        <f>image("https://pokejungle.net/sprites/shiny/"&amp;P36&amp;".png")</f>
        <v/>
      </c>
      <c r="R40" s="33"/>
    </row>
    <row r="41" ht="26.25" customHeight="1">
      <c r="A41" s="15"/>
      <c r="B41" s="38" t="str">
        <f>image("https://i.imgur.com/beHgI95.png")</f>
        <v/>
      </c>
      <c r="C41" s="36"/>
      <c r="D41" s="46" t="str">
        <f>image("https://i.imgur.com/beHgI95.png")</f>
        <v/>
      </c>
      <c r="E41" s="36"/>
      <c r="F41" s="38" t="str">
        <f>image("https://i.imgur.com/XI18XGu.png")</f>
        <v/>
      </c>
      <c r="G41" s="36"/>
      <c r="H41" s="38" t="str">
        <f>image("https://i.imgur.com/rJhTvoD.png")</f>
        <v/>
      </c>
      <c r="I41" s="36"/>
      <c r="J41" s="38" t="str">
        <f>image("https://i.imgur.com/N2Wqr43.png")</f>
        <v/>
      </c>
      <c r="K41" s="36"/>
      <c r="L41" s="46" t="str">
        <f>image("https://i.imgur.com/N2Wqr43.png")</f>
        <v/>
      </c>
      <c r="M41" s="36"/>
      <c r="N41" s="38"/>
      <c r="O41" s="36"/>
      <c r="P41" s="38" t="str">
        <f>image("https://i.imgur.com/XI18XGu.png")</f>
        <v/>
      </c>
      <c r="Q41" s="36"/>
      <c r="R41" s="33"/>
    </row>
    <row r="42" ht="26.25" customHeight="1">
      <c r="A42" s="15"/>
      <c r="B42" s="43" t="str">
        <f>image("https://i.imgur.com/JDgAgAO.png")</f>
        <v/>
      </c>
      <c r="C42" s="41"/>
      <c r="D42" s="43" t="str">
        <f>image("https://i.imgur.com/JDgAgAO.png")</f>
        <v/>
      </c>
      <c r="E42" s="41"/>
      <c r="F42" s="40"/>
      <c r="G42" s="41"/>
      <c r="H42" s="43" t="str">
        <f>image("https://i.imgur.com/JDgAgAO.png")</f>
        <v/>
      </c>
      <c r="I42" s="41"/>
      <c r="J42" s="40" t="str">
        <f>image("https://i.imgur.com/rJhTvoD.png")</f>
        <v/>
      </c>
      <c r="K42" s="41"/>
      <c r="L42" s="40" t="str">
        <f>image("https://i.imgur.com/rJhTvoD.png")</f>
        <v/>
      </c>
      <c r="M42" s="41"/>
      <c r="N42" s="40"/>
      <c r="O42" s="41"/>
      <c r="P42" s="40" t="str">
        <f>image("https://i.imgur.com/nNTmuH8.png")</f>
        <v/>
      </c>
      <c r="Q42" s="41"/>
      <c r="R42" s="33"/>
    </row>
    <row r="43" ht="18.75" customHeight="1">
      <c r="A43" s="6"/>
      <c r="B43" s="8" t="s">
        <v>1874</v>
      </c>
      <c r="C43" s="10" t="s">
        <v>1876</v>
      </c>
      <c r="D43" s="8" t="s">
        <v>1878</v>
      </c>
      <c r="E43" s="10" t="s">
        <v>1880</v>
      </c>
      <c r="F43" s="8" t="s">
        <v>1882</v>
      </c>
      <c r="G43" s="10" t="s">
        <v>1884</v>
      </c>
      <c r="H43" s="8" t="s">
        <v>1886</v>
      </c>
      <c r="I43" s="10" t="s">
        <v>1887</v>
      </c>
      <c r="J43" s="8" t="s">
        <v>1889</v>
      </c>
      <c r="K43" s="10" t="s">
        <v>1891</v>
      </c>
      <c r="L43" s="8" t="s">
        <v>1892</v>
      </c>
      <c r="M43" s="10" t="s">
        <v>1894</v>
      </c>
      <c r="N43" s="8" t="s">
        <v>1895</v>
      </c>
      <c r="O43" s="10" t="s">
        <v>1896</v>
      </c>
      <c r="P43" s="8" t="s">
        <v>1898</v>
      </c>
      <c r="Q43" s="10" t="s">
        <v>1899</v>
      </c>
      <c r="R43" s="14"/>
    </row>
    <row r="44" ht="26.25" customHeight="1">
      <c r="A44" s="15"/>
      <c r="B44" s="16" t="str">
        <f>image("https://i.imgur.com/RqSOGo6.png")</f>
        <v/>
      </c>
      <c r="C44" s="20" t="str">
        <f>image("https://pokejungle.net/sprites/normal/"&amp;B43&amp;".png")</f>
        <v/>
      </c>
      <c r="D44" s="16" t="str">
        <f>image("https://i.imgur.com/VQL4lPa.png")</f>
        <v/>
      </c>
      <c r="E44" s="20" t="str">
        <f>image("https://pokejungle.net/sprites/normal/"&amp;D43&amp;".png")</f>
        <v/>
      </c>
      <c r="F44" s="16" t="str">
        <f>image("https://i.imgur.com/VQL4lPa.png")</f>
        <v/>
      </c>
      <c r="G44" s="20" t="str">
        <f>image("https://pokejungle.net/sprites/normal/"&amp;F43&amp;".png")</f>
        <v/>
      </c>
      <c r="H44" s="24" t="str">
        <f>image("https://i.imgur.com/RqSOGo6.png")</f>
        <v/>
      </c>
      <c r="I44" s="20" t="str">
        <f>image("https://pokejungle.net/sprites/normal/"&amp;H43&amp;".png")</f>
        <v/>
      </c>
      <c r="J44" s="16" t="str">
        <f>image("https://i.imgur.com/SF5CZ6U.png")</f>
        <v/>
      </c>
      <c r="K44" s="20" t="str">
        <f>image("https://pokejungle.net/sprites/normal/"&amp;J43&amp;".png")</f>
        <v/>
      </c>
      <c r="L44" s="28" t="str">
        <f>image("https://i.imgur.com/rAI9Gyi.png")</f>
        <v/>
      </c>
      <c r="M44" s="20" t="str">
        <f>image("https://pokejungle.net/sprites/normal/"&amp;L43&amp;".png")</f>
        <v/>
      </c>
      <c r="N44" s="16" t="str">
        <f>image("https://i.imgur.com/rAI9Gyi.png")</f>
        <v/>
      </c>
      <c r="O44" s="20" t="str">
        <f>image("https://pokejungle.net/sprites/normal/"&amp;N43&amp;".png")</f>
        <v/>
      </c>
      <c r="P44" s="16" t="str">
        <f>image("https://i.imgur.com/a9HBljD.png")</f>
        <v/>
      </c>
      <c r="Q44" s="20" t="str">
        <f>image("https://pokejungle.net/sprites/normal/"&amp;P43&amp;".png")</f>
        <v/>
      </c>
      <c r="R44" s="33"/>
    </row>
    <row r="45" ht="26.25" customHeight="1">
      <c r="A45" s="15"/>
      <c r="B45" s="38" t="str">
        <f>image("https://i.imgur.com/lKAfx6k.png")</f>
        <v/>
      </c>
      <c r="C45" s="36"/>
      <c r="D45" s="35" t="str">
        <f>image("https://i.imgur.com/N2Wqr43.png")</f>
        <v/>
      </c>
      <c r="E45" s="36"/>
      <c r="F45" s="35" t="str">
        <f>image("https://i.imgur.com/N2Wqr43.png")</f>
        <v/>
      </c>
      <c r="G45" s="36"/>
      <c r="H45" s="37" t="str">
        <f>image("https://i.imgur.com/EkqYYOB.png")</f>
        <v/>
      </c>
      <c r="I45" s="36"/>
      <c r="J45" s="38" t="str">
        <f>image("https://i.imgur.com/XNzvO0H.png")</f>
        <v/>
      </c>
      <c r="K45" s="36"/>
      <c r="L45" s="38" t="str">
        <f>image("https://i.imgur.com/rJhTvoD.png")</f>
        <v/>
      </c>
      <c r="M45" s="36"/>
      <c r="N45" s="38" t="str">
        <f>image("https://i.imgur.com/rJhTvoD.png")</f>
        <v/>
      </c>
      <c r="O45" s="36"/>
      <c r="P45" s="38" t="str">
        <f>image("https://i.imgur.com/XI18XGu.png")</f>
        <v/>
      </c>
      <c r="Q45" s="36"/>
      <c r="R45" s="33"/>
    </row>
    <row r="46" ht="26.25" customHeight="1">
      <c r="A46" s="15"/>
      <c r="B46" s="40" t="str">
        <f>image("https://i.imgur.com/N2Wqr43.png")</f>
        <v/>
      </c>
      <c r="C46" s="41"/>
      <c r="D46" s="40" t="str">
        <f>image("https://i.imgur.com/XIu6jDl.png")</f>
        <v/>
      </c>
      <c r="E46" s="41"/>
      <c r="F46" s="40"/>
      <c r="G46" s="41"/>
      <c r="H46" s="40" t="str">
        <f>image("https://i.imgur.com/lpOVjtL.png")</f>
        <v/>
      </c>
      <c r="I46" s="41"/>
      <c r="J46" s="40" t="str">
        <f>image("https://i.imgur.com/nNTmuH8.png")</f>
        <v/>
      </c>
      <c r="K46" s="41"/>
      <c r="L46" s="43"/>
      <c r="M46" s="41"/>
      <c r="N46" s="40"/>
      <c r="O46" s="41"/>
      <c r="P46" s="40" t="str">
        <f>image("https://i.imgur.com/rAI9Gyi.png")</f>
        <v/>
      </c>
      <c r="Q46" s="41"/>
      <c r="R46" s="33"/>
    </row>
    <row r="47" ht="26.25" customHeight="1">
      <c r="A47" s="15"/>
      <c r="B47" s="16" t="str">
        <f>image("https://i.imgur.com/ef1o2lD.png")</f>
        <v/>
      </c>
      <c r="C47" s="20" t="str">
        <f>image("https://pokejungle.net/sprites/shiny/"&amp;B43&amp;".png")</f>
        <v/>
      </c>
      <c r="D47" s="16" t="str">
        <f>image("https://i.imgur.com/beHgI95.png")</f>
        <v/>
      </c>
      <c r="E47" s="20" t="str">
        <f>image("https://pokejungle.net/sprites/shiny/"&amp;D43&amp;".png")</f>
        <v/>
      </c>
      <c r="F47" s="16" t="str">
        <f>image("https://i.imgur.com/VQL4lPa.png")</f>
        <v/>
      </c>
      <c r="G47" s="20" t="str">
        <f>image("https://pokejungle.net/sprites/shiny/"&amp;F43&amp;".png")</f>
        <v/>
      </c>
      <c r="H47" s="16" t="str">
        <f>image("https://i.imgur.com/EkqYYOB.png")</f>
        <v/>
      </c>
      <c r="I47" s="20" t="str">
        <f>image("https://pokejungle.net/sprites/shiny/"&amp;H43&amp;".png")</f>
        <v/>
      </c>
      <c r="J47" s="16" t="str">
        <f>image("https://i.imgur.com/EkqYYOB.png")</f>
        <v/>
      </c>
      <c r="K47" s="20" t="str">
        <f>image("https://pokejungle.net/sprites/shiny/"&amp;J43&amp;".png")</f>
        <v/>
      </c>
      <c r="L47" s="16" t="str">
        <f>image("https://i.imgur.com/beHgI95.png")</f>
        <v/>
      </c>
      <c r="M47" s="20" t="str">
        <f>image("https://pokejungle.net/sprites/shiny/"&amp;L43&amp;".png")</f>
        <v/>
      </c>
      <c r="N47" s="16" t="str">
        <f>image("https://i.imgur.com/lpOVjtL.png")</f>
        <v/>
      </c>
      <c r="O47" s="20" t="str">
        <f>image("https://pokejungle.net/sprites/shiny/"&amp;N43&amp;".png")</f>
        <v/>
      </c>
      <c r="P47" s="16" t="str">
        <f>image("https://i.imgur.com/a9HBljD.png")</f>
        <v/>
      </c>
      <c r="Q47" s="20" t="str">
        <f>image("https://pokejungle.net/sprites/shiny/"&amp;P43&amp;".png")</f>
        <v/>
      </c>
      <c r="R47" s="33"/>
    </row>
    <row r="48" ht="26.25" customHeight="1">
      <c r="A48" s="15"/>
      <c r="B48" s="38" t="str">
        <f>image("https://i.imgur.com/XNzvO0H.png")</f>
        <v/>
      </c>
      <c r="C48" s="36"/>
      <c r="D48" s="38" t="str">
        <f>image("https://i.imgur.com/rJhTvoD.png")</f>
        <v/>
      </c>
      <c r="E48" s="36"/>
      <c r="F48" s="35" t="str">
        <f>image("https://i.imgur.com/N2Wqr43.png")</f>
        <v/>
      </c>
      <c r="G48" s="36"/>
      <c r="H48" s="38" t="str">
        <f>image("https://i.imgur.com/rJhTvoD.png")</f>
        <v/>
      </c>
      <c r="I48" s="36"/>
      <c r="J48" s="38" t="str">
        <f>image("https://i.imgur.com/rJhTvoD.png")</f>
        <v/>
      </c>
      <c r="K48" s="36"/>
      <c r="L48" s="38" t="str">
        <f>image("https://i.imgur.com/rJhTvoD.png")</f>
        <v/>
      </c>
      <c r="M48" s="36"/>
      <c r="N48" s="38" t="str">
        <f>image("https://i.imgur.com/XI18XGu.png")</f>
        <v/>
      </c>
      <c r="O48" s="36"/>
      <c r="P48" s="38" t="str">
        <f>image("https://i.imgur.com/rAI9Gyi.png")</f>
        <v/>
      </c>
      <c r="Q48" s="36"/>
      <c r="R48" s="33"/>
    </row>
    <row r="49" ht="26.25" customHeight="1">
      <c r="A49" s="15"/>
      <c r="B49" s="40" t="str">
        <f>image("https://i.imgur.com/SF5CZ6U.png")</f>
        <v/>
      </c>
      <c r="C49" s="41"/>
      <c r="D49" s="40" t="str">
        <f>image("https://i.imgur.com/zpybKax.png")</f>
        <v/>
      </c>
      <c r="E49" s="41"/>
      <c r="F49" s="40" t="str">
        <f>image("https://i.imgur.com/zpybKax.png")</f>
        <v/>
      </c>
      <c r="G49" s="41"/>
      <c r="H49" s="43"/>
      <c r="I49" s="41"/>
      <c r="J49" s="40" t="str">
        <f>image("https://i.imgur.com/nNTmuH8.png")</f>
        <v/>
      </c>
      <c r="K49" s="41"/>
      <c r="L49" s="43"/>
      <c r="M49" s="41"/>
      <c r="N49" s="40" t="str">
        <f>image("https://i.imgur.com/EkqYYOB.png")</f>
        <v/>
      </c>
      <c r="O49" s="41"/>
      <c r="P49" s="40" t="str">
        <f>image("https://i.imgur.com/EkqYYOB.png")</f>
        <v/>
      </c>
      <c r="Q49" s="41"/>
      <c r="R49" s="33"/>
    </row>
    <row r="50" ht="18.75" customHeight="1">
      <c r="A50" s="6"/>
      <c r="B50" s="8" t="s">
        <v>1929</v>
      </c>
      <c r="C50" s="10" t="s">
        <v>1930</v>
      </c>
      <c r="D50" s="8" t="s">
        <v>1931</v>
      </c>
      <c r="E50" s="10" t="s">
        <v>1932</v>
      </c>
      <c r="F50" s="8" t="s">
        <v>1933</v>
      </c>
      <c r="G50" s="10" t="s">
        <v>1934</v>
      </c>
      <c r="H50" s="8" t="s">
        <v>1935</v>
      </c>
      <c r="I50" s="10" t="s">
        <v>1937</v>
      </c>
      <c r="J50" s="8" t="s">
        <v>1939</v>
      </c>
      <c r="K50" s="10" t="s">
        <v>1941</v>
      </c>
      <c r="L50" s="8" t="s">
        <v>1942</v>
      </c>
      <c r="M50" s="10" t="s">
        <v>1943</v>
      </c>
      <c r="N50" s="8" t="s">
        <v>1945</v>
      </c>
      <c r="O50" s="10" t="s">
        <v>1946</v>
      </c>
      <c r="P50" s="8" t="s">
        <v>1948</v>
      </c>
      <c r="Q50" s="10" t="s">
        <v>1949</v>
      </c>
      <c r="R50" s="14"/>
    </row>
    <row r="51" ht="26.25" customHeight="1">
      <c r="A51" s="15"/>
      <c r="B51" s="16" t="str">
        <f>image("https://i.imgur.com/a9HBljD.png")</f>
        <v/>
      </c>
      <c r="C51" s="20" t="str">
        <f>image("https://pokejungle.net/sprites/normal/"&amp;B50&amp;".png")</f>
        <v/>
      </c>
      <c r="D51" s="16" t="str">
        <f>image("https://i.imgur.com/a9HBljD.png")</f>
        <v/>
      </c>
      <c r="E51" s="20" t="str">
        <f>image("https://pokejungle.net/sprites/normal/"&amp;D50&amp;".png")</f>
        <v/>
      </c>
      <c r="F51" s="16" t="str">
        <f>image("https://i.imgur.com/0ArMZjJ.png")</f>
        <v/>
      </c>
      <c r="G51" s="20" t="str">
        <f>image("https://pokejungle.net/sprites/normal/"&amp;F50&amp;".png")</f>
        <v/>
      </c>
      <c r="H51" s="24" t="str">
        <f>image("https://i.imgur.com/GyNf8BH.png")</f>
        <v/>
      </c>
      <c r="I51" s="20" t="str">
        <f>image("https://pokejungle.net/sprites/normal/"&amp;H50&amp;".png")</f>
        <v/>
      </c>
      <c r="J51" s="16" t="str">
        <f>image("https://i.imgur.com/JOd7Boe.png")</f>
        <v/>
      </c>
      <c r="K51" s="20" t="str">
        <f>image("https://pokejungle.net/sprites/normal/"&amp;J50&amp;".png")</f>
        <v/>
      </c>
      <c r="L51" s="28" t="str">
        <f>image("https://i.imgur.com/XNzvO0H.png")</f>
        <v/>
      </c>
      <c r="M51" s="20" t="str">
        <f>image("https://pokejungle.net/sprites/normal/"&amp;L50&amp;".png")</f>
        <v/>
      </c>
      <c r="N51" s="16" t="str">
        <f>image("https://i.imgur.com/XNzvO0H.png")</f>
        <v/>
      </c>
      <c r="O51" s="20" t="str">
        <f>image("https://pokejungle.net/sprites/normal/"&amp;N50&amp;".png")</f>
        <v/>
      </c>
      <c r="P51" s="16" t="str">
        <f>image("https://i.imgur.com/NkILW1J.png")</f>
        <v/>
      </c>
      <c r="Q51" s="20" t="str">
        <f>image("https://pokejungle.net/sprites/normal/"&amp;P50&amp;".png")</f>
        <v/>
      </c>
      <c r="R51" s="33"/>
    </row>
    <row r="52" ht="26.25" customHeight="1">
      <c r="A52" s="15"/>
      <c r="B52" s="38" t="str">
        <f>image("https://i.imgur.com/XI18XGu.png")</f>
        <v/>
      </c>
      <c r="C52" s="36"/>
      <c r="D52" s="35" t="str">
        <f>image("https://i.imgur.com/XI18XGu.png")</f>
        <v/>
      </c>
      <c r="E52" s="36"/>
      <c r="F52" s="35" t="str">
        <f>image("https://i.imgur.com/JOd7Boe.png")</f>
        <v/>
      </c>
      <c r="G52" s="36"/>
      <c r="H52" s="37" t="str">
        <f>image("https://i.imgur.com/JOd7Boe.png")</f>
        <v/>
      </c>
      <c r="I52" s="36"/>
      <c r="J52" s="38" t="str">
        <f>image("https://i.imgur.com/0ArMZjJ.png")</f>
        <v/>
      </c>
      <c r="K52" s="36"/>
      <c r="L52" s="38" t="str">
        <f>image("https://i.imgur.com/SF5CZ6U.png")</f>
        <v/>
      </c>
      <c r="M52" s="36"/>
      <c r="N52" s="38" t="str">
        <f>image("https://i.imgur.com/a9HBljD.png")</f>
        <v/>
      </c>
      <c r="O52" s="36"/>
      <c r="P52" s="38" t="str">
        <f>image("https://i.imgur.com/EkqYYOB.png")</f>
        <v/>
      </c>
      <c r="Q52" s="36"/>
      <c r="R52" s="33"/>
    </row>
    <row r="53" ht="26.25" customHeight="1">
      <c r="A53" s="15"/>
      <c r="B53" s="40" t="str">
        <f>image("https://i.imgur.com/rAI9Gyi.png")</f>
        <v/>
      </c>
      <c r="C53" s="41"/>
      <c r="D53" s="40" t="str">
        <f>image("https://i.imgur.com/rAI9Gyi.png")</f>
        <v/>
      </c>
      <c r="E53" s="41"/>
      <c r="F53" s="40" t="str">
        <f>image("https://i.imgur.com/GyNf8BH.png")</f>
        <v/>
      </c>
      <c r="G53" s="41"/>
      <c r="H53" s="40" t="str">
        <f>image("https://i.imgur.com/bxys1sd.png")</f>
        <v/>
      </c>
      <c r="I53" s="41"/>
      <c r="J53" s="40"/>
      <c r="K53" s="41"/>
      <c r="L53" s="43"/>
      <c r="M53" s="41"/>
      <c r="N53" s="40" t="str">
        <f>image("https://i.imgur.com/SF5CZ6U.png")</f>
        <v/>
      </c>
      <c r="O53" s="41"/>
      <c r="P53" s="40"/>
      <c r="Q53" s="41"/>
      <c r="R53" s="33"/>
    </row>
    <row r="54" ht="26.25" customHeight="1">
      <c r="A54" s="15"/>
      <c r="B54" s="16" t="str">
        <f>image("https://i.imgur.com/a9HBljD.png")</f>
        <v/>
      </c>
      <c r="C54" s="20" t="str">
        <f>image("https://pokejungle.net/sprites/shiny/"&amp;B50&amp;".png")</f>
        <v/>
      </c>
      <c r="D54" s="16" t="str">
        <f>image("https://i.imgur.com/a9HBljD.png")</f>
        <v/>
      </c>
      <c r="E54" s="20" t="str">
        <f>image("https://pokejungle.net/sprites/shiny/"&amp;D50&amp;".png")</f>
        <v/>
      </c>
      <c r="F54" s="16" t="str">
        <f>image("https://i.imgur.com/JDgAgAO.png")</f>
        <v/>
      </c>
      <c r="G54" s="20" t="str">
        <f>image("https://pokejungle.net/sprites/shiny/"&amp;F50&amp;".png")</f>
        <v/>
      </c>
      <c r="H54" s="16" t="str">
        <f>image("https://i.imgur.com/JDgAgAO.png")</f>
        <v/>
      </c>
      <c r="I54" s="20" t="str">
        <f>image("https://pokejungle.net/sprites/shiny/"&amp;H50&amp;".png")</f>
        <v/>
      </c>
      <c r="J54" s="16" t="str">
        <f>image("https://i.imgur.com/JOd7Boe.png")</f>
        <v/>
      </c>
      <c r="K54" s="20" t="str">
        <f>image("https://pokejungle.net/sprites/shiny/"&amp;J50&amp;".png")</f>
        <v/>
      </c>
      <c r="L54" s="16" t="str">
        <f>image("https://i.imgur.com/XI18XGu.png")</f>
        <v/>
      </c>
      <c r="M54" s="20" t="str">
        <f>image("https://pokejungle.net/sprites/shiny/"&amp;L50&amp;".png")</f>
        <v/>
      </c>
      <c r="N54" s="16" t="str">
        <f>image("https://i.imgur.com/XI18XGu.png")</f>
        <v/>
      </c>
      <c r="O54" s="20" t="str">
        <f>image("https://pokejungle.net/sprites/shiny/"&amp;N50&amp;".png")</f>
        <v/>
      </c>
      <c r="P54" s="16" t="str">
        <f>image("https://i.imgur.com/EkqYYOB.png")</f>
        <v/>
      </c>
      <c r="Q54" s="20" t="str">
        <f>image("https://pokejungle.net/sprites/shiny/"&amp;P50&amp;".png")</f>
        <v/>
      </c>
      <c r="R54" s="33"/>
    </row>
    <row r="55" ht="26.25" customHeight="1">
      <c r="A55" s="15"/>
      <c r="B55" s="38" t="str">
        <f>image("https://i.imgur.com/rAI9Gyi.png")</f>
        <v/>
      </c>
      <c r="C55" s="36"/>
      <c r="D55" s="46" t="str">
        <f>image("https://i.imgur.com/rAI9Gyi.png")</f>
        <v/>
      </c>
      <c r="E55" s="36"/>
      <c r="F55" s="35" t="str">
        <f>image("https://i.imgur.com/beHgI95.png")</f>
        <v/>
      </c>
      <c r="G55" s="36"/>
      <c r="H55" s="46" t="str">
        <f>image("https://i.imgur.com/NkILW1J.png")</f>
        <v/>
      </c>
      <c r="I55" s="36"/>
      <c r="J55" s="38" t="str">
        <f>image("https://i.imgur.com/0ArMZjJ.png")</f>
        <v/>
      </c>
      <c r="K55" s="36"/>
      <c r="L55" s="35" t="str">
        <f>image("https://i.imgur.com/XNzvO0H.png")</f>
        <v/>
      </c>
      <c r="M55" s="36"/>
      <c r="N55" s="38" t="str">
        <f>image("https://i.imgur.com/a9HBljD.png")</f>
        <v/>
      </c>
      <c r="O55" s="36"/>
      <c r="P55" s="38" t="str">
        <f>image("https://i.imgur.com/rJhTvoD.png")</f>
        <v/>
      </c>
      <c r="Q55" s="36"/>
      <c r="R55" s="33"/>
    </row>
    <row r="56" ht="26.25" customHeight="1">
      <c r="A56" s="15"/>
      <c r="B56" s="40" t="str">
        <f>image("https://i.imgur.com/EkqYYOB.png")</f>
        <v/>
      </c>
      <c r="C56" s="41"/>
      <c r="D56" s="40" t="str">
        <f>image("https://i.imgur.com/EkqYYOB.png")</f>
        <v/>
      </c>
      <c r="E56" s="41"/>
      <c r="F56" s="40" t="str">
        <f>image("https://i.imgur.com/zpybKax.png")</f>
        <v/>
      </c>
      <c r="G56" s="41"/>
      <c r="H56" s="43" t="str">
        <f>image("https://i.imgur.com/zpybKax.png")</f>
        <v/>
      </c>
      <c r="I56" s="41"/>
      <c r="J56" s="40"/>
      <c r="K56" s="41"/>
      <c r="L56" s="43"/>
      <c r="M56" s="41"/>
      <c r="N56" s="43" t="str">
        <f>image("https://i.imgur.com/XNzvO0H.png")</f>
        <v/>
      </c>
      <c r="O56" s="41"/>
      <c r="P56" s="40" t="str">
        <f>image("https://i.imgur.com/beHgI95.png")</f>
        <v/>
      </c>
      <c r="Q56" s="41"/>
      <c r="R56" s="33"/>
    </row>
    <row r="57" ht="18.75" customHeight="1">
      <c r="A57" s="6"/>
      <c r="B57" s="8" t="s">
        <v>1981</v>
      </c>
      <c r="C57" s="10" t="s">
        <v>1983</v>
      </c>
      <c r="D57" s="8" t="s">
        <v>1985</v>
      </c>
      <c r="E57" s="10" t="s">
        <v>1986</v>
      </c>
      <c r="F57" s="8" t="s">
        <v>1988</v>
      </c>
      <c r="G57" s="10" t="s">
        <v>1989</v>
      </c>
      <c r="H57" s="8" t="s">
        <v>1991</v>
      </c>
      <c r="I57" s="10" t="s">
        <v>1992</v>
      </c>
      <c r="J57" s="8" t="s">
        <v>1994</v>
      </c>
      <c r="K57" s="10" t="s">
        <v>1995</v>
      </c>
      <c r="L57" s="8" t="s">
        <v>1996</v>
      </c>
      <c r="M57" s="10" t="s">
        <v>1997</v>
      </c>
      <c r="N57" s="8" t="s">
        <v>1998</v>
      </c>
      <c r="O57" s="10" t="s">
        <v>1999</v>
      </c>
      <c r="P57" s="8" t="s">
        <v>2000</v>
      </c>
      <c r="Q57" s="10" t="s">
        <v>2001</v>
      </c>
      <c r="R57" s="14"/>
    </row>
    <row r="58" ht="26.25" customHeight="1">
      <c r="A58" s="15"/>
      <c r="B58" s="16" t="str">
        <f>image("https://i.imgur.com/NkILW1J.png")</f>
        <v/>
      </c>
      <c r="C58" s="20" t="str">
        <f>image("https://pokejungle.net/sprites/normal/"&amp;B57&amp;".png")</f>
        <v/>
      </c>
      <c r="D58" s="16" t="str">
        <f>image("https://i.imgur.com/N2Wqr43.png")</f>
        <v/>
      </c>
      <c r="E58" s="20" t="str">
        <f>image("https://pokejungle.net/sprites/normal/"&amp;D57&amp;".png")</f>
        <v/>
      </c>
      <c r="F58" s="16" t="str">
        <f>image("https://i.imgur.com/bxys1sd.png")</f>
        <v/>
      </c>
      <c r="G58" s="20" t="str">
        <f>image("https://pokejungle.net/sprites/normal/"&amp;F57&amp;".png")</f>
        <v/>
      </c>
      <c r="H58" s="24" t="str">
        <f>image("https://i.imgur.com/JDgAgAO.png")</f>
        <v/>
      </c>
      <c r="I58" s="20" t="str">
        <f>image("https://pokejungle.net/sprites/normal/"&amp;H57&amp;".png")</f>
        <v/>
      </c>
      <c r="J58" s="16" t="str">
        <f>image("https://i.imgur.com/JDgAgAO.png")</f>
        <v/>
      </c>
      <c r="K58" s="20" t="str">
        <f>image("https://pokejungle.net/sprites/normal/"&amp;J57&amp;".png")</f>
        <v/>
      </c>
      <c r="L58" s="28" t="str">
        <f>image("https://i.imgur.com/0ArMZjJ.png")</f>
        <v/>
      </c>
      <c r="M58" s="20" t="str">
        <f>image("https://pokejungle.net/sprites/normal/"&amp;L57&amp;".png")</f>
        <v/>
      </c>
      <c r="N58" s="16" t="str">
        <f>image("https://i.imgur.com/0ArMZjJ.png")</f>
        <v/>
      </c>
      <c r="O58" s="20" t="str">
        <f>image("https://pokejungle.net/sprites/normal/"&amp;N57&amp;".png")</f>
        <v/>
      </c>
      <c r="P58" s="16" t="str">
        <f>image("https://i.imgur.com/a9HBljD.png")</f>
        <v/>
      </c>
      <c r="Q58" s="20" t="str">
        <f>image("https://pokejungle.net/sprites/normal/"&amp;P57&amp;".png")</f>
        <v/>
      </c>
      <c r="R58" s="33"/>
    </row>
    <row r="59" ht="26.25" customHeight="1">
      <c r="A59" s="15"/>
      <c r="B59" s="38" t="str">
        <f>image("https://i.imgur.com/EkqYYOB.png")</f>
        <v/>
      </c>
      <c r="C59" s="36"/>
      <c r="D59" s="35" t="str">
        <f>image("https://i.imgur.com/VQL4lPa.png")</f>
        <v/>
      </c>
      <c r="E59" s="36"/>
      <c r="F59" s="35" t="str">
        <f>image("https://i.imgur.com/JOd7Boe.png")</f>
        <v/>
      </c>
      <c r="G59" s="36"/>
      <c r="H59" s="38" t="str">
        <f>image("https://i.imgur.com/zpybKax.png")</f>
        <v/>
      </c>
      <c r="I59" s="36"/>
      <c r="J59" s="38" t="str">
        <f>image("https://i.imgur.com/zpybKax.png")</f>
        <v/>
      </c>
      <c r="K59" s="36"/>
      <c r="L59" s="35" t="str">
        <f>image("https://i.imgur.com/XNzvO0H.png")</f>
        <v/>
      </c>
      <c r="M59" s="36"/>
      <c r="N59" s="38" t="str">
        <f>image("https://i.imgur.com/JDgAgAO.png")</f>
        <v/>
      </c>
      <c r="O59" s="36"/>
      <c r="P59" s="38" t="str">
        <f>image("https://i.imgur.com/rAI9Gyi.png")</f>
        <v/>
      </c>
      <c r="Q59" s="36"/>
      <c r="R59" s="33"/>
    </row>
    <row r="60" ht="26.25" customHeight="1">
      <c r="A60" s="15"/>
      <c r="B60" s="40"/>
      <c r="C60" s="41"/>
      <c r="D60" s="40"/>
      <c r="E60" s="41"/>
      <c r="F60" s="40" t="str">
        <f>image("https://i.imgur.com/GyNf8BH.png")</f>
        <v/>
      </c>
      <c r="G60" s="41"/>
      <c r="H60" s="40" t="str">
        <f>image("https://i.imgur.com/IIajvuS.png")</f>
        <v/>
      </c>
      <c r="I60" s="41"/>
      <c r="J60" s="40" t="str">
        <f>image("https://i.imgur.com/IIajvuS.png")</f>
        <v/>
      </c>
      <c r="K60" s="41"/>
      <c r="L60" s="43" t="str">
        <f>image("https://i.imgur.com/VQL4lPa.png")</f>
        <v/>
      </c>
      <c r="M60" s="41"/>
      <c r="N60" s="40" t="str">
        <f>image("https://i.imgur.com/JOd7Boe.png")</f>
        <v/>
      </c>
      <c r="O60" s="41"/>
      <c r="P60" s="40"/>
      <c r="Q60" s="41"/>
      <c r="R60" s="33"/>
    </row>
    <row r="61" ht="26.25" customHeight="1">
      <c r="A61" s="15"/>
      <c r="B61" s="16" t="str">
        <f>image("https://i.imgur.com/EkqYYOB.png")</f>
        <v/>
      </c>
      <c r="C61" s="20" t="str">
        <f>image("https://pokejungle.net/sprites/shiny/"&amp;B57&amp;".png")</f>
        <v/>
      </c>
      <c r="D61" s="16" t="str">
        <f>image("https://i.imgur.com/zpybKax.png")</f>
        <v/>
      </c>
      <c r="E61" s="20" t="str">
        <f>image("https://pokejungle.net/sprites/shiny/"&amp;D57&amp;".png")</f>
        <v/>
      </c>
      <c r="F61" s="16" t="str">
        <f>image("https://i.imgur.com/NkILW1J.png")</f>
        <v/>
      </c>
      <c r="G61" s="20" t="str">
        <f>image("https://pokejungle.net/sprites/shiny/"&amp;F57&amp;".png")</f>
        <v/>
      </c>
      <c r="H61" s="16" t="str">
        <f>image("https://i.imgur.com/JDgAgAO.png")</f>
        <v/>
      </c>
      <c r="I61" s="20" t="str">
        <f>image("https://pokejungle.net/sprites/shiny/"&amp;H57&amp;".png")</f>
        <v/>
      </c>
      <c r="J61" s="16" t="str">
        <f>image("https://i.imgur.com/JDgAgAO.png")</f>
        <v/>
      </c>
      <c r="K61" s="20" t="str">
        <f>image("https://pokejungle.net/sprites/shiny/"&amp;J57&amp;".png")</f>
        <v/>
      </c>
      <c r="L61" s="16" t="str">
        <f>image("https://i.imgur.com/rJhTvoD.png")</f>
        <v/>
      </c>
      <c r="M61" s="20" t="str">
        <f>image("https://pokejungle.net/sprites/shiny/"&amp;L57&amp;".png")</f>
        <v/>
      </c>
      <c r="N61" s="16" t="str">
        <f>image("https://i.imgur.com/rJhTvoD.png")</f>
        <v/>
      </c>
      <c r="O61" s="20" t="str">
        <f>image("https://pokejungle.net/sprites/shiny/"&amp;N57&amp;".png")</f>
        <v/>
      </c>
      <c r="P61" s="16" t="str">
        <f>image("https://i.imgur.com/0ArMZjJ.png")</f>
        <v/>
      </c>
      <c r="Q61" s="20" t="str">
        <f>image("https://pokejungle.net/sprites/shiny/"&amp;P57&amp;".png")</f>
        <v/>
      </c>
      <c r="R61" s="33"/>
    </row>
    <row r="62" ht="26.25" customHeight="1">
      <c r="A62" s="15"/>
      <c r="B62" s="38" t="str">
        <f>image("https://i.imgur.com/rJhTvoD.png")</f>
        <v/>
      </c>
      <c r="C62" s="36"/>
      <c r="D62" s="46" t="str">
        <f>image("https://i.imgur.com/JDgAgAO.png")</f>
        <v/>
      </c>
      <c r="E62" s="36"/>
      <c r="F62" s="35" t="str">
        <f>image("https://i.imgur.com/XNzvO0H.png")</f>
        <v/>
      </c>
      <c r="G62" s="36"/>
      <c r="H62" s="46" t="str">
        <f>image("https://i.imgur.com/XzidFHI.png")</f>
        <v/>
      </c>
      <c r="I62" s="36"/>
      <c r="J62" s="38" t="str">
        <f>image("https://i.imgur.com/XzidFHI.png")</f>
        <v/>
      </c>
      <c r="K62" s="36"/>
      <c r="L62" s="46" t="str">
        <f>image("https://i.imgur.com/EkqYYOB.png")</f>
        <v/>
      </c>
      <c r="M62" s="36"/>
      <c r="N62" s="38" t="str">
        <f>image("https://i.imgur.com/JDgAgAO.png")</f>
        <v/>
      </c>
      <c r="O62" s="36"/>
      <c r="P62" s="38" t="str">
        <f>image("https://i.imgur.com/rAI9Gyi.png")</f>
        <v/>
      </c>
      <c r="Q62" s="36"/>
      <c r="R62" s="33"/>
    </row>
    <row r="63" ht="26.25" customHeight="1">
      <c r="A63" s="15"/>
      <c r="B63" s="40" t="str">
        <f>image("https://i.imgur.com/beHgI95.png")</f>
        <v/>
      </c>
      <c r="C63" s="41"/>
      <c r="D63" s="40" t="str">
        <f>image("https://i.imgur.com/XIu6jDl.png")</f>
        <v/>
      </c>
      <c r="E63" s="41"/>
      <c r="F63" s="40"/>
      <c r="G63" s="41"/>
      <c r="H63" s="40" t="str">
        <f>image("https://i.imgur.com/IIajvuS.png")</f>
        <v/>
      </c>
      <c r="I63" s="41"/>
      <c r="J63" s="40" t="str">
        <f>image("https://i.imgur.com/IIajvuS.png")</f>
        <v/>
      </c>
      <c r="K63" s="41"/>
      <c r="L63" s="43" t="str">
        <f>image("https://i.imgur.com/VQL4lPa.png")</f>
        <v/>
      </c>
      <c r="M63" s="41"/>
      <c r="N63" s="40" t="str">
        <f>image("https://i.imgur.com/JOd7Boe.png")</f>
        <v/>
      </c>
      <c r="O63" s="41"/>
      <c r="P63" s="40"/>
      <c r="Q63" s="41"/>
      <c r="R63" s="33"/>
    </row>
    <row r="64" ht="18.75" customHeight="1">
      <c r="A64" s="6"/>
      <c r="B64" s="8" t="s">
        <v>2036</v>
      </c>
      <c r="C64" s="10" t="s">
        <v>2037</v>
      </c>
      <c r="D64" s="8" t="s">
        <v>2038</v>
      </c>
      <c r="E64" s="10" t="s">
        <v>2039</v>
      </c>
      <c r="F64" s="8" t="s">
        <v>2040</v>
      </c>
      <c r="G64" s="10" t="s">
        <v>2041</v>
      </c>
      <c r="H64" s="8" t="s">
        <v>2042</v>
      </c>
      <c r="I64" s="10" t="s">
        <v>2043</v>
      </c>
      <c r="J64" s="8" t="s">
        <v>2044</v>
      </c>
      <c r="K64" s="10" t="s">
        <v>2045</v>
      </c>
      <c r="L64" s="8" t="s">
        <v>2044</v>
      </c>
      <c r="M64" s="10" t="s">
        <v>2046</v>
      </c>
      <c r="N64" s="8" t="s">
        <v>2044</v>
      </c>
      <c r="O64" s="10" t="s">
        <v>2047</v>
      </c>
      <c r="P64" s="8" t="s">
        <v>2048</v>
      </c>
      <c r="Q64" s="10" t="s">
        <v>2049</v>
      </c>
      <c r="R64" s="14"/>
    </row>
    <row r="65" ht="26.25" customHeight="1">
      <c r="A65" s="15"/>
      <c r="B65" s="16" t="str">
        <f>image("https://i.imgur.com/0ArMZjJ.png")</f>
        <v/>
      </c>
      <c r="C65" s="20" t="str">
        <f>image("https://pokejungle.net/sprites/normal/"&amp;B64&amp;".png")</f>
        <v/>
      </c>
      <c r="D65" s="16" t="str">
        <f>image("https://i.imgur.com/0ArMZjJ.png")</f>
        <v/>
      </c>
      <c r="E65" s="20" t="str">
        <f>image("https://pokejungle.net/sprites/normal/"&amp;D64&amp;".png")</f>
        <v/>
      </c>
      <c r="F65" s="16" t="str">
        <f>image("https://i.imgur.com/NkILW1J.png")</f>
        <v/>
      </c>
      <c r="G65" s="20" t="str">
        <f>image("https://pokejungle.net/sprites/normal/"&amp;F64&amp;".png")</f>
        <v/>
      </c>
      <c r="H65" s="24" t="str">
        <f>image("https://i.imgur.com/XNzvO0H.png")</f>
        <v/>
      </c>
      <c r="I65" s="20" t="str">
        <f>image("https://pokejungle.net/sprites/normal/"&amp;H64&amp;".png")</f>
        <v/>
      </c>
      <c r="J65" s="16" t="str">
        <f>image("https://i.imgur.com/RqSOGo6.png")</f>
        <v/>
      </c>
      <c r="K65" s="20" t="str">
        <f>image("https://pokejungle.net/sprites/normal/"&amp;J64&amp;".png")</f>
        <v/>
      </c>
      <c r="L65" s="28" t="str">
        <f>image("https://i.imgur.com/bxys1sd.png")</f>
        <v/>
      </c>
      <c r="M65" s="20" t="str">
        <f>image("https://pokejungle.net/sprites/normal/"&amp;L64&amp;"-1.png")</f>
        <v/>
      </c>
      <c r="N65" s="16" t="str">
        <f>image("https://i.imgur.com/beHgI95.png")</f>
        <v/>
      </c>
      <c r="O65" s="20" t="str">
        <f>image("https://pokejungle.net/sprites/normal/"&amp;N64&amp;"-2.png")</f>
        <v/>
      </c>
      <c r="P65" s="16" t="str">
        <f>image("https://i.imgur.com/JOd7Boe.png")</f>
        <v/>
      </c>
      <c r="Q65" s="20" t="str">
        <f>image("https://pokejungle.net/sprites/normal/"&amp;P64&amp;".png")</f>
        <v/>
      </c>
      <c r="R65" s="33"/>
    </row>
    <row r="66" ht="26.25" customHeight="1">
      <c r="A66" s="15"/>
      <c r="B66" s="35" t="str">
        <f>image("https://i.imgur.com/a9HBljD.png")</f>
        <v/>
      </c>
      <c r="C66" s="36"/>
      <c r="D66" s="35" t="str">
        <f>image("https://i.imgur.com/a9HBljD.png")</f>
        <v/>
      </c>
      <c r="E66" s="36"/>
      <c r="F66" s="35" t="str">
        <f>image("https://i.imgur.com/JOd7Boe.png")</f>
        <v/>
      </c>
      <c r="G66" s="36"/>
      <c r="H66" s="37" t="str">
        <f>image("https://i.imgur.com/NkILW1J.png")</f>
        <v/>
      </c>
      <c r="I66" s="36"/>
      <c r="J66" s="38" t="str">
        <f>image("https://i.imgur.com/lKAfx6k.png")</f>
        <v/>
      </c>
      <c r="K66" s="36"/>
      <c r="L66" s="35" t="str">
        <f>image("https://i.imgur.com/JOd7Boe.png")</f>
        <v/>
      </c>
      <c r="M66" s="36"/>
      <c r="N66" s="38" t="str">
        <f>image("https://i.imgur.com/zpybKax.png")</f>
        <v/>
      </c>
      <c r="O66" s="36"/>
      <c r="P66" s="38" t="str">
        <f>image("https://i.imgur.com/NkILW1J.png")</f>
        <v/>
      </c>
      <c r="Q66" s="36"/>
      <c r="R66" s="33"/>
    </row>
    <row r="67" ht="26.25" customHeight="1">
      <c r="A67" s="15"/>
      <c r="B67" s="40"/>
      <c r="C67" s="41"/>
      <c r="D67" s="40"/>
      <c r="E67" s="41"/>
      <c r="F67" s="40" t="str">
        <f>image("https://i.imgur.com/nNTmuH8.png")</f>
        <v/>
      </c>
      <c r="G67" s="41"/>
      <c r="H67" s="40" t="str">
        <f>image("https://i.imgur.com/IIajvuS.png")</f>
        <v/>
      </c>
      <c r="I67" s="41"/>
      <c r="J67" s="40"/>
      <c r="K67" s="41"/>
      <c r="L67" s="40" t="str">
        <f>image("https://i.imgur.com/GyNf8BH.png")</f>
        <v/>
      </c>
      <c r="M67" s="41"/>
      <c r="N67" s="40"/>
      <c r="O67" s="41"/>
      <c r="P67" s="40" t="str">
        <f t="shared" ref="P67:P68" si="4">image("https://i.imgur.com/JDgAgAO.png")</f>
        <v/>
      </c>
      <c r="Q67" s="41"/>
      <c r="R67" s="33"/>
    </row>
    <row r="68" ht="26.25" customHeight="1">
      <c r="A68" s="15"/>
      <c r="B68" s="16" t="str">
        <f>image("https://i.imgur.com/EkqYYOB.png")</f>
        <v/>
      </c>
      <c r="C68" s="20" t="str">
        <f>image("https://pokejungle.net/sprites/shiny/"&amp;B64&amp;".png")</f>
        <v/>
      </c>
      <c r="D68" s="16" t="str">
        <f>image("https://i.imgur.com/EkqYYOB.png")</f>
        <v/>
      </c>
      <c r="E68" s="20" t="str">
        <f>image("https://pokejungle.net/sprites/shiny/"&amp;D64&amp;".png")</f>
        <v/>
      </c>
      <c r="F68" s="16" t="str">
        <f>image("https://i.imgur.com/XIu6jDl.png")</f>
        <v/>
      </c>
      <c r="G68" s="20" t="str">
        <f>image("https://pokejungle.net/sprites/shiny/"&amp;F64&amp;".png")</f>
        <v/>
      </c>
      <c r="H68" s="16" t="str">
        <f>image("https://i.imgur.com/rJhTvoD.png")</f>
        <v/>
      </c>
      <c r="I68" s="20" t="str">
        <f>image("https://pokejungle.net/sprites/shiny/"&amp;H64&amp;".png")</f>
        <v/>
      </c>
      <c r="J68" s="16" t="str">
        <f>image("https://i.imgur.com/RqSOGo6.png")</f>
        <v/>
      </c>
      <c r="K68" s="20" t="str">
        <f>image("https://pokejungle.net/sprites/shiny/"&amp;J64&amp;".png")</f>
        <v/>
      </c>
      <c r="L68" s="16" t="str">
        <f>image("https://i.imgur.com/0ArMZjJ.png")</f>
        <v/>
      </c>
      <c r="M68" s="20" t="str">
        <f>image("https://pokejungle.net/sprites/shiny/"&amp;L64&amp;"-1.png")</f>
        <v/>
      </c>
      <c r="N68" s="16" t="str">
        <f>image("https://i.imgur.com/lKAfx6k.png")</f>
        <v/>
      </c>
      <c r="O68" s="20" t="str">
        <f>image("https://pokejungle.net/sprites/shiny/"&amp;N64&amp;"-2.png")</f>
        <v/>
      </c>
      <c r="P68" s="16" t="str">
        <f t="shared" si="4"/>
        <v/>
      </c>
      <c r="Q68" s="20" t="str">
        <f>image("https://pokejungle.net/sprites/shiny/"&amp;P64&amp;".png")</f>
        <v/>
      </c>
      <c r="R68" s="33"/>
    </row>
    <row r="69" ht="26.25" customHeight="1">
      <c r="A69" s="15"/>
      <c r="B69" s="38" t="str">
        <f>image("https://i.imgur.com/JOd7Boe.png")</f>
        <v/>
      </c>
      <c r="C69" s="36"/>
      <c r="D69" s="46" t="str">
        <f>image("https://i.imgur.com/JOd7Boe.png")</f>
        <v/>
      </c>
      <c r="E69" s="36"/>
      <c r="F69" s="35" t="str">
        <f>image("https://i.imgur.com/N2Wqr43.png")</f>
        <v/>
      </c>
      <c r="G69" s="36"/>
      <c r="H69" s="38" t="str">
        <f>image("https://i.imgur.com/0ArMZjJ.png")</f>
        <v/>
      </c>
      <c r="I69" s="36"/>
      <c r="J69" s="38" t="str">
        <f>image("https://i.imgur.com/lpOVjtL.png")</f>
        <v/>
      </c>
      <c r="K69" s="36"/>
      <c r="L69" s="46"/>
      <c r="M69" s="36"/>
      <c r="N69" s="38" t="str">
        <f>image("https://i.imgur.com/RqSOGo6.png")</f>
        <v/>
      </c>
      <c r="O69" s="36"/>
      <c r="P69" s="38" t="str">
        <f>image("https://i.imgur.com/NkILW1J.png")</f>
        <v/>
      </c>
      <c r="Q69" s="36"/>
      <c r="R69" s="33"/>
    </row>
    <row r="70" ht="26.25" customHeight="1">
      <c r="A70" s="15"/>
      <c r="B70" s="40" t="str">
        <f>image("https://i.imgur.com/N2Wqr43.png")</f>
        <v/>
      </c>
      <c r="C70" s="41"/>
      <c r="D70" s="40" t="str">
        <f>image("https://i.imgur.com/N2Wqr43.png")</f>
        <v/>
      </c>
      <c r="E70" s="41"/>
      <c r="F70" s="40" t="str">
        <f>image("https://i.imgur.com/NkILW1J.png")</f>
        <v/>
      </c>
      <c r="G70" s="41"/>
      <c r="H70" s="43"/>
      <c r="I70" s="41"/>
      <c r="J70" s="40"/>
      <c r="K70" s="41"/>
      <c r="L70" s="43"/>
      <c r="M70" s="41"/>
      <c r="N70" s="40"/>
      <c r="O70" s="41"/>
      <c r="P70" s="40" t="str">
        <f>image("https://i.imgur.com/JOd7Boe.png")</f>
        <v/>
      </c>
      <c r="Q70" s="41"/>
      <c r="R70" s="33"/>
    </row>
    <row r="71" ht="18.75" customHeight="1">
      <c r="A71" s="6"/>
      <c r="B71" s="8" t="s">
        <v>2066</v>
      </c>
      <c r="C71" s="10" t="s">
        <v>2067</v>
      </c>
      <c r="D71" s="8" t="s">
        <v>2068</v>
      </c>
      <c r="E71" s="10" t="s">
        <v>2069</v>
      </c>
      <c r="F71" s="8" t="s">
        <v>2070</v>
      </c>
      <c r="G71" s="10" t="s">
        <v>2071</v>
      </c>
      <c r="H71" s="8" t="s">
        <v>2072</v>
      </c>
      <c r="I71" s="10" t="s">
        <v>2073</v>
      </c>
      <c r="J71" s="8" t="s">
        <v>2074</v>
      </c>
      <c r="K71" s="10" t="s">
        <v>2075</v>
      </c>
      <c r="L71" s="8" t="s">
        <v>2076</v>
      </c>
      <c r="M71" s="10" t="s">
        <v>2077</v>
      </c>
      <c r="N71" s="8" t="s">
        <v>2078</v>
      </c>
      <c r="O71" s="10" t="s">
        <v>2079</v>
      </c>
      <c r="P71" s="8" t="s">
        <v>2080</v>
      </c>
      <c r="Q71" s="10" t="s">
        <v>2081</v>
      </c>
      <c r="R71" s="14"/>
    </row>
    <row r="72" ht="26.25" customHeight="1">
      <c r="A72" s="15"/>
      <c r="B72" s="16" t="str">
        <f>image("https://i.imgur.com/lpOVjtL.png")</f>
        <v/>
      </c>
      <c r="C72" s="20" t="str">
        <f>image("https://pokejungle.net/sprites/normal/"&amp;B71&amp;".png")</f>
        <v/>
      </c>
      <c r="D72" s="16" t="str">
        <f>image("https://i.imgur.com/RqSOGo6.png")</f>
        <v/>
      </c>
      <c r="E72" s="20" t="str">
        <f>image("https://pokejungle.net/sprites/normal/"&amp;D71&amp;".png")</f>
        <v/>
      </c>
      <c r="F72" s="16" t="str">
        <f>image("https://i.imgur.com/zpybKax.png")</f>
        <v/>
      </c>
      <c r="G72" s="20" t="str">
        <f>image("https://pokejungle.net/sprites/normal/"&amp;F71&amp;".png")</f>
        <v/>
      </c>
      <c r="H72" s="24" t="str">
        <f>image("https://i.imgur.com/EkqYYOB.png")</f>
        <v/>
      </c>
      <c r="I72" s="20" t="str">
        <f>image("https://pokejungle.net/sprites/normal/"&amp;H71&amp;".png")</f>
        <v/>
      </c>
      <c r="J72" s="16" t="str">
        <f>image("https://i.imgur.com/nNTmuH8.png")</f>
        <v/>
      </c>
      <c r="K72" s="20" t="str">
        <f>image("https://pokejungle.net/sprites/normal/"&amp;J71&amp;".png")</f>
        <v/>
      </c>
      <c r="L72" s="28" t="str">
        <f>image("https://i.imgur.com/rAI9Gyi.png")</f>
        <v/>
      </c>
      <c r="M72" s="20" t="str">
        <f>image("https://pokejungle.net/sprites/normal/"&amp;L71&amp;".png")</f>
        <v/>
      </c>
      <c r="N72" s="16" t="str">
        <f>image("https://i.imgur.com/bxys1sd.png")</f>
        <v/>
      </c>
      <c r="O72" s="20" t="str">
        <f>image("https://pokejungle.net/sprites/normal/"&amp;N71&amp;".png")</f>
        <v/>
      </c>
      <c r="P72" s="16" t="str">
        <f>image("https://i.imgur.com/JOd7Boe.png")</f>
        <v/>
      </c>
      <c r="Q72" s="20" t="str">
        <f>image("https://pokejungle.net/sprites/normal/"&amp;P71&amp;".png")</f>
        <v/>
      </c>
      <c r="R72" s="33"/>
    </row>
    <row r="73" ht="26.25" customHeight="1">
      <c r="A73" s="15"/>
      <c r="B73" s="38" t="str">
        <f>image("https://i.imgur.com/XIu6jDl.png")</f>
        <v/>
      </c>
      <c r="C73" s="36"/>
      <c r="D73" s="38" t="str">
        <f>image("https://i.imgur.com/rJhTvoD.png")</f>
        <v/>
      </c>
      <c r="E73" s="36"/>
      <c r="F73" s="46" t="str">
        <f>image("https://i.imgur.com/JDgAgAO.png")</f>
        <v/>
      </c>
      <c r="G73" s="36"/>
      <c r="H73" s="38" t="str">
        <f>image("https://i.imgur.com/rJhTvoD.png")</f>
        <v/>
      </c>
      <c r="I73" s="36"/>
      <c r="J73" s="38" t="str">
        <f>image("https://i.imgur.com/XI18XGu.png")</f>
        <v/>
      </c>
      <c r="K73" s="36"/>
      <c r="L73" s="35" t="str">
        <f>image("https://i.imgur.com/a9HBljD.png")</f>
        <v/>
      </c>
      <c r="M73" s="36"/>
      <c r="N73" s="38" t="str">
        <f>image("https://i.imgur.com/VQL4lPa.png")</f>
        <v/>
      </c>
      <c r="O73" s="36"/>
      <c r="P73" s="38" t="str">
        <f>image("https://i.imgur.com/N2Wqr43.png")</f>
        <v/>
      </c>
      <c r="Q73" s="36"/>
      <c r="R73" s="33"/>
    </row>
    <row r="74" ht="26.25" customHeight="1">
      <c r="A74" s="15"/>
      <c r="B74" s="40"/>
      <c r="C74" s="41"/>
      <c r="D74" s="40" t="str">
        <f>image("https://i.imgur.com/lpOVjtL.png")</f>
        <v/>
      </c>
      <c r="E74" s="41"/>
      <c r="F74" s="40"/>
      <c r="G74" s="41"/>
      <c r="H74" s="40"/>
      <c r="I74" s="41"/>
      <c r="J74" s="40" t="str">
        <f>image("https://i.imgur.com/JOd7Boe.png")</f>
        <v/>
      </c>
      <c r="K74" s="41"/>
      <c r="L74" s="40" t="str">
        <f>image("https://i.imgur.com/rJhTvoD.png")</f>
        <v/>
      </c>
      <c r="M74" s="41"/>
      <c r="N74" s="40" t="str">
        <f>image("https://i.imgur.com/N2Wqr43.png")</f>
        <v/>
      </c>
      <c r="O74" s="41"/>
      <c r="P74" s="40" t="str">
        <f>image("https://i.imgur.com/XI18XGu.png")</f>
        <v/>
      </c>
      <c r="Q74" s="41"/>
      <c r="R74" s="33"/>
    </row>
    <row r="75" ht="26.25" customHeight="1">
      <c r="A75" s="15"/>
      <c r="B75" s="16" t="str">
        <f>image("https://i.imgur.com/nNTmuH8.png")</f>
        <v/>
      </c>
      <c r="C75" s="20" t="str">
        <f>image("https://pokejungle.net/sprites/shiny/"&amp;B71&amp;".png")</f>
        <v/>
      </c>
      <c r="D75" s="16" t="str">
        <f>image("https://i.imgur.com/RqSOGo6.png")</f>
        <v/>
      </c>
      <c r="E75" s="20" t="str">
        <f>image("https://pokejungle.net/sprites/shiny/"&amp;D71&amp;".png")</f>
        <v/>
      </c>
      <c r="F75" s="16" t="str">
        <f>image("https://i.imgur.com/rAI9Gyi.png")</f>
        <v/>
      </c>
      <c r="G75" s="20" t="str">
        <f>image("https://pokejungle.net/sprites/shiny/"&amp;F71&amp;".png")</f>
        <v/>
      </c>
      <c r="H75" s="16" t="str">
        <f>image("https://i.imgur.com/EkqYYOB.png")</f>
        <v/>
      </c>
      <c r="I75" s="20" t="str">
        <f>image("https://pokejungle.net/sprites/shiny/"&amp;H71&amp;".png")</f>
        <v/>
      </c>
      <c r="J75" s="16" t="str">
        <f>image("https://i.imgur.com/lpOVjtL.png")</f>
        <v/>
      </c>
      <c r="K75" s="20" t="str">
        <f>image("https://pokejungle.net/sprites/shiny/"&amp;J71&amp;".png")</f>
        <v/>
      </c>
      <c r="L75" s="16" t="str">
        <f>image("https://i.imgur.com/XI18XGu.png")</f>
        <v/>
      </c>
      <c r="M75" s="20" t="str">
        <f>image("https://pokejungle.net/sprites/shiny/"&amp;L71&amp;".png")</f>
        <v/>
      </c>
      <c r="N75" s="16" t="str">
        <f>image("https://i.imgur.com/SF5CZ6U.png")</f>
        <v/>
      </c>
      <c r="O75" s="20" t="str">
        <f>image("https://pokejungle.net/sprites/shiny/"&amp;N71&amp;".png")</f>
        <v/>
      </c>
      <c r="P75" s="16" t="str">
        <f>image("https://i.imgur.com/N2Wqr43.png")</f>
        <v/>
      </c>
      <c r="Q75" s="20" t="str">
        <f>image("https://pokejungle.net/sprites/shiny/"&amp;P71&amp;".png")</f>
        <v/>
      </c>
      <c r="R75" s="33"/>
    </row>
    <row r="76" ht="26.25" customHeight="1">
      <c r="A76" s="15"/>
      <c r="B76" s="38" t="str">
        <f>image("https://i.imgur.com/XzidFHI.png")</f>
        <v/>
      </c>
      <c r="C76" s="36"/>
      <c r="D76" s="38" t="str">
        <f>image("https://i.imgur.com/rJhTvoD.png")</f>
        <v/>
      </c>
      <c r="E76" s="36"/>
      <c r="F76" s="38" t="str">
        <f>image("https://i.imgur.com/rJhTvoD.png")</f>
        <v/>
      </c>
      <c r="G76" s="36"/>
      <c r="H76" s="46" t="str">
        <f>image("https://i.imgur.com/JDgAgAO.png")</f>
        <v/>
      </c>
      <c r="I76" s="36"/>
      <c r="J76" s="38" t="str">
        <f>image("https://i.imgur.com/VQL4lPa.png")</f>
        <v/>
      </c>
      <c r="K76" s="36"/>
      <c r="L76" s="46" t="str">
        <f>image("https://i.imgur.com/a9HBljD.png")</f>
        <v/>
      </c>
      <c r="M76" s="36"/>
      <c r="N76" s="38" t="str">
        <f>image("https://i.imgur.com/nNTmuH8.png")</f>
        <v/>
      </c>
      <c r="O76" s="36"/>
      <c r="P76" s="38" t="str">
        <f>image("https://i.imgur.com/VQL4lPa.png")</f>
        <v/>
      </c>
      <c r="Q76" s="36"/>
      <c r="R76" s="33"/>
    </row>
    <row r="77" ht="26.25" customHeight="1">
      <c r="A77" s="15"/>
      <c r="B77" s="40" t="str">
        <f>image("https://i.imgur.com/N2Wqr43.png")</f>
        <v/>
      </c>
      <c r="C77" s="41"/>
      <c r="D77" s="40" t="str">
        <f>image("https://i.imgur.com/lpOVjtL.png")</f>
        <v/>
      </c>
      <c r="E77" s="41"/>
      <c r="F77" s="43" t="str">
        <f>image("https://i.imgur.com/XI18XGu.png")</f>
        <v/>
      </c>
      <c r="G77" s="41"/>
      <c r="H77" s="40" t="str">
        <f>image("https://i.imgur.com/SF5CZ6U.png")</f>
        <v/>
      </c>
      <c r="I77" s="41"/>
      <c r="J77" s="40" t="str">
        <f>image("https://i.imgur.com/N2Wqr43.png")</f>
        <v/>
      </c>
      <c r="K77" s="41"/>
      <c r="L77" s="40" t="str">
        <f>image("https://i.imgur.com/rAI9Gyi.png")</f>
        <v/>
      </c>
      <c r="M77" s="41"/>
      <c r="N77" s="40" t="str">
        <f>image("https://i.imgur.com/XzidFHI.png")</f>
        <v/>
      </c>
      <c r="O77" s="41"/>
      <c r="P77" s="40" t="str">
        <f>image("https://i.imgur.com/lpOVjtL.png")</f>
        <v/>
      </c>
      <c r="Q77" s="41"/>
      <c r="R77" s="33"/>
    </row>
    <row r="78" ht="18.75" customHeight="1">
      <c r="A78" s="6"/>
      <c r="B78" s="8" t="s">
        <v>2108</v>
      </c>
      <c r="C78" s="10" t="s">
        <v>2109</v>
      </c>
      <c r="D78" s="8" t="s">
        <v>2110</v>
      </c>
      <c r="E78" s="10" t="s">
        <v>2111</v>
      </c>
      <c r="F78" s="8" t="s">
        <v>2113</v>
      </c>
      <c r="G78" s="10" t="s">
        <v>2114</v>
      </c>
      <c r="H78" s="8" t="s">
        <v>2115</v>
      </c>
      <c r="I78" s="10" t="s">
        <v>2116</v>
      </c>
      <c r="J78" s="8" t="s">
        <v>2117</v>
      </c>
      <c r="K78" s="10" t="s">
        <v>2118</v>
      </c>
      <c r="L78" s="8" t="s">
        <v>2119</v>
      </c>
      <c r="M78" s="10" t="s">
        <v>2120</v>
      </c>
      <c r="N78" s="8" t="s">
        <v>2121</v>
      </c>
      <c r="O78" s="10" t="s">
        <v>2122</v>
      </c>
      <c r="P78" s="8" t="s">
        <v>2123</v>
      </c>
      <c r="Q78" s="10" t="s">
        <v>2124</v>
      </c>
      <c r="R78" s="14"/>
    </row>
    <row r="79" ht="26.25" customHeight="1">
      <c r="A79" s="15"/>
      <c r="B79" s="16" t="str">
        <f>image("https://i.imgur.com/RqSOGo6.png")</f>
        <v/>
      </c>
      <c r="C79" s="20" t="str">
        <f>image("https://pokejungle.net/sprites/normal/"&amp;B78&amp;".png")</f>
        <v/>
      </c>
      <c r="D79" s="16" t="str">
        <f>image("https://i.imgur.com/beHgI95.png")</f>
        <v/>
      </c>
      <c r="E79" s="20" t="str">
        <f>image("https://pokejungle.net/sprites/normal/"&amp;D78&amp;".png")</f>
        <v/>
      </c>
      <c r="F79" s="16" t="str">
        <f>image("https://i.imgur.com/JOd7Boe.png")</f>
        <v/>
      </c>
      <c r="G79" s="20" t="str">
        <f>image("https://pokejungle.net/sprites/normal/"&amp;F78&amp;".png")</f>
        <v/>
      </c>
      <c r="H79" s="24" t="str">
        <f>image("https://i.imgur.com/bxys1sd.png")</f>
        <v/>
      </c>
      <c r="I79" s="20" t="str">
        <f>image("https://pokejungle.net/sprites/normal/"&amp;H78&amp;".png")</f>
        <v/>
      </c>
      <c r="J79" s="16" t="str">
        <f>image("https://i.imgur.com/beHgI95.png")</f>
        <v/>
      </c>
      <c r="K79" s="20" t="str">
        <f>image("https://pokejungle.net/sprites/normal/"&amp;J78&amp;".png")</f>
        <v/>
      </c>
      <c r="L79" s="28" t="str">
        <f>image("https://i.imgur.com/NkILW1J.png")</f>
        <v/>
      </c>
      <c r="M79" s="20" t="str">
        <f>image("https://pokejungle.net/sprites/normal/"&amp;L78&amp;".png")</f>
        <v/>
      </c>
      <c r="N79" s="16" t="str">
        <f>image("https://i.imgur.com/rJhTvoD.png")</f>
        <v/>
      </c>
      <c r="O79" s="20" t="str">
        <f>image("https://pokejungle.net/sprites/normal/"&amp;N78&amp;".png")</f>
        <v/>
      </c>
      <c r="P79" s="16" t="str">
        <f>image("https://i.imgur.com/XIu6jDl.png")</f>
        <v/>
      </c>
      <c r="Q79" s="20" t="str">
        <f>image("https://pokejungle.net/sprites/normal/"&amp;P78&amp;".png")</f>
        <v/>
      </c>
      <c r="R79" s="33"/>
    </row>
    <row r="80" ht="26.25" customHeight="1">
      <c r="A80" s="15"/>
      <c r="B80" s="38" t="str">
        <f>image("https://i.imgur.com/lKAfx6k.png")</f>
        <v/>
      </c>
      <c r="C80" s="36"/>
      <c r="D80" s="35" t="str">
        <f>image("https://i.imgur.com/NkILW1J.png")</f>
        <v/>
      </c>
      <c r="E80" s="36"/>
      <c r="F80" s="38" t="str">
        <f>image("https://i.imgur.com/GyNf8BH.png")</f>
        <v/>
      </c>
      <c r="G80" s="36"/>
      <c r="H80" s="37" t="str">
        <f>image("https://i.imgur.com/JOd7Boe.png")</f>
        <v/>
      </c>
      <c r="I80" s="36"/>
      <c r="J80" s="38" t="str">
        <f>image("https://i.imgur.com/rJhTvoD.png")</f>
        <v/>
      </c>
      <c r="K80" s="36"/>
      <c r="L80" s="35" t="str">
        <f>image("https://i.imgur.com/SF5CZ6U.png")</f>
        <v/>
      </c>
      <c r="M80" s="36"/>
      <c r="N80" s="38" t="str">
        <f>image("https://i.imgur.com/JOd7Boe.png")</f>
        <v/>
      </c>
      <c r="O80" s="36"/>
      <c r="P80" s="38" t="str">
        <f>image("https://i.imgur.com/N2Wqr43.png")</f>
        <v/>
      </c>
      <c r="Q80" s="36"/>
      <c r="R80" s="33"/>
    </row>
    <row r="81" ht="26.25" customHeight="1">
      <c r="A81" s="15"/>
      <c r="B81" s="40" t="str">
        <f t="shared" ref="B81:B82" si="5">image("https://i.imgur.com/rJhTvoD.png")</f>
        <v/>
      </c>
      <c r="C81" s="41"/>
      <c r="D81" s="40" t="str">
        <f>image("https://i.imgur.com/EkqYYOB.png")</f>
        <v/>
      </c>
      <c r="E81" s="41"/>
      <c r="F81" s="40"/>
      <c r="G81" s="41"/>
      <c r="H81" s="40" t="str">
        <f>image("https://i.imgur.com/0ArMZjJ.png")</f>
        <v/>
      </c>
      <c r="I81" s="41"/>
      <c r="J81" s="40"/>
      <c r="K81" s="41"/>
      <c r="L81" s="40" t="str">
        <f>image("https://i.imgur.com/XzidFHI.png")</f>
        <v/>
      </c>
      <c r="M81" s="41"/>
      <c r="N81" s="40" t="str">
        <f>image("https://i.imgur.com/RqSOGo6.png")</f>
        <v/>
      </c>
      <c r="O81" s="41"/>
      <c r="P81" s="40" t="str">
        <f>image("https://i.imgur.com/VQL4lPa.png")</f>
        <v/>
      </c>
      <c r="Q81" s="41"/>
      <c r="R81" s="33"/>
    </row>
    <row r="82" ht="26.25" customHeight="1">
      <c r="A82" s="15"/>
      <c r="B82" s="16" t="str">
        <f t="shared" si="5"/>
        <v/>
      </c>
      <c r="C82" s="20" t="str">
        <f>image("https://pokejungle.net/sprites/shiny/"&amp;B78&amp;".png")</f>
        <v/>
      </c>
      <c r="D82" s="16" t="str">
        <f>image("https://i.imgur.com/beHgI95.png")</f>
        <v/>
      </c>
      <c r="E82" s="20" t="str">
        <f>image("https://pokejungle.net/sprites/shiny/"&amp;D78&amp;".png")</f>
        <v/>
      </c>
      <c r="F82" s="16" t="str">
        <f>image("https://i.imgur.com/JOd7Boe.png")</f>
        <v/>
      </c>
      <c r="G82" s="20" t="str">
        <f>image("https://pokejungle.net/sprites/shiny/"&amp;F78&amp;".png")</f>
        <v/>
      </c>
      <c r="H82" s="16" t="str">
        <f>image("https://i.imgur.com/NkILW1J.png")</f>
        <v/>
      </c>
      <c r="I82" s="20" t="str">
        <f>image("https://pokejungle.net/sprites/shiny/"&amp;H78&amp;".png")</f>
        <v/>
      </c>
      <c r="J82" s="16" t="str">
        <f>image("https://i.imgur.com/beHgI95.png")</f>
        <v/>
      </c>
      <c r="K82" s="20" t="str">
        <f>image("https://pokejungle.net/sprites/shiny/"&amp;J78&amp;".png")</f>
        <v/>
      </c>
      <c r="L82" s="16" t="str">
        <f>image("https://i.imgur.com/NkILW1J.png")</f>
        <v/>
      </c>
      <c r="M82" s="20" t="str">
        <f>image("https://pokejungle.net/sprites/shiny/"&amp;L78&amp;".png")</f>
        <v/>
      </c>
      <c r="N82" s="16" t="str">
        <f>image("https://i.imgur.com/rJhTvoD.png")</f>
        <v/>
      </c>
      <c r="O82" s="20" t="str">
        <f>image("https://pokejungle.net/sprites/shiny/"&amp;N78&amp;".png")</f>
        <v/>
      </c>
      <c r="P82" s="16" t="str">
        <f>image("https://i.imgur.com/NkILW1J.png")</f>
        <v/>
      </c>
      <c r="Q82" s="20" t="str">
        <f>image("https://pokejungle.net/sprites/shiny/"&amp;P78&amp;".png")</f>
        <v/>
      </c>
      <c r="R82" s="33"/>
    </row>
    <row r="83" ht="26.25" customHeight="1">
      <c r="A83" s="15"/>
      <c r="B83" s="38" t="str">
        <f>image("https://i.imgur.com/beHgI95.png")</f>
        <v/>
      </c>
      <c r="C83" s="36"/>
      <c r="D83" s="46" t="str">
        <f>image("https://i.imgur.com/EkqYYOB.png")</f>
        <v/>
      </c>
      <c r="E83" s="36"/>
      <c r="F83" s="38" t="str">
        <f>image("https://i.imgur.com/GyNf8BH.png")</f>
        <v/>
      </c>
      <c r="G83" s="36"/>
      <c r="H83" s="46" t="str">
        <f>image("https://i.imgur.com/XNzvO0H.png")</f>
        <v/>
      </c>
      <c r="I83" s="36"/>
      <c r="J83" s="38" t="str">
        <f>image("https://i.imgur.com/rJhTvoD.png")</f>
        <v/>
      </c>
      <c r="K83" s="36"/>
      <c r="L83" s="46" t="str">
        <f>image("https://i.imgur.com/SF5CZ6U.png")</f>
        <v/>
      </c>
      <c r="M83" s="36"/>
      <c r="N83" s="46" t="str">
        <f>image("https://i.imgur.com/EkqYYOB.png")</f>
        <v/>
      </c>
      <c r="O83" s="36"/>
      <c r="P83" s="38" t="str">
        <f>image("https://i.imgur.com/XzidFHI.png")</f>
        <v/>
      </c>
      <c r="Q83" s="36"/>
      <c r="R83" s="33"/>
    </row>
    <row r="84" ht="26.25" customHeight="1">
      <c r="A84" s="15"/>
      <c r="B84" s="40" t="str">
        <f>image("https://i.imgur.com/RqSOGo6.png")</f>
        <v/>
      </c>
      <c r="C84" s="41"/>
      <c r="D84" s="43"/>
      <c r="E84" s="41"/>
      <c r="F84" s="40"/>
      <c r="G84" s="41"/>
      <c r="H84" s="43"/>
      <c r="I84" s="41"/>
      <c r="J84" s="40"/>
      <c r="K84" s="41"/>
      <c r="L84" s="40" t="str">
        <f>image("https://i.imgur.com/XzidFHI.png")</f>
        <v/>
      </c>
      <c r="M84" s="41"/>
      <c r="N84" s="40" t="str">
        <f>image("https://i.imgur.com/RqSOGo6.png")</f>
        <v/>
      </c>
      <c r="O84" s="41"/>
      <c r="P84" s="40" t="str">
        <f>image("https://i.imgur.com/N2Wqr43.png")</f>
        <v/>
      </c>
      <c r="Q84" s="41"/>
      <c r="R84" s="33"/>
    </row>
    <row r="85" ht="18.75" customHeight="1">
      <c r="A85" s="6"/>
      <c r="B85" s="8" t="s">
        <v>2142</v>
      </c>
      <c r="C85" s="10" t="s">
        <v>2143</v>
      </c>
      <c r="D85" s="8" t="s">
        <v>2144</v>
      </c>
      <c r="E85" s="10" t="s">
        <v>2145</v>
      </c>
      <c r="F85" s="8" t="s">
        <v>2146</v>
      </c>
      <c r="G85" s="10" t="s">
        <v>2147</v>
      </c>
      <c r="H85" s="8" t="s">
        <v>2148</v>
      </c>
      <c r="I85" s="68" t="s">
        <v>2149</v>
      </c>
      <c r="J85" s="8" t="s">
        <v>2148</v>
      </c>
      <c r="K85" s="10" t="s">
        <v>2150</v>
      </c>
      <c r="L85" s="8" t="s">
        <v>2151</v>
      </c>
      <c r="M85" s="10" t="s">
        <v>2152</v>
      </c>
      <c r="N85" s="8" t="s">
        <v>2153</v>
      </c>
      <c r="O85" s="10" t="s">
        <v>2154</v>
      </c>
      <c r="P85" s="8" t="s">
        <v>2155</v>
      </c>
      <c r="Q85" s="10" t="s">
        <v>2156</v>
      </c>
      <c r="R85" s="14"/>
    </row>
    <row r="86" ht="26.25" customHeight="1">
      <c r="A86" s="15"/>
      <c r="B86" s="16" t="str">
        <f>image("https://i.imgur.com/NkILW1J.png")</f>
        <v/>
      </c>
      <c r="C86" s="20" t="str">
        <f>image("https://pokejungle.net/sprites/normal/"&amp;B85&amp;".png")</f>
        <v/>
      </c>
      <c r="D86" s="16" t="str">
        <f>image("https://i.imgur.com/NkILW1J.png")</f>
        <v/>
      </c>
      <c r="E86" s="20" t="str">
        <f>image("https://pokejungle.net/sprites/normal/"&amp;D85&amp;".png")</f>
        <v/>
      </c>
      <c r="F86" s="16" t="str">
        <f>image("https://i.imgur.com/NkILW1J.png")</f>
        <v/>
      </c>
      <c r="G86" s="20" t="str">
        <f>image("https://pokejungle.net/sprites/normal/"&amp;F85&amp;".png")</f>
        <v/>
      </c>
      <c r="H86" s="24" t="str">
        <f>image("https://i.imgur.com/EkqYYOB.png")</f>
        <v/>
      </c>
      <c r="I86" s="20" t="str">
        <f>image("https://pokejungle.net/sprites/normal/"&amp;H85&amp;".png")</f>
        <v/>
      </c>
      <c r="J86" s="16" t="str">
        <f>image("https://i.imgur.com/beHgI95.png")</f>
        <v/>
      </c>
      <c r="K86" s="20" t="str">
        <f>image("https://pokejungle.net/sprites/normal/"&amp;J85&amp;"-1.png")</f>
        <v/>
      </c>
      <c r="L86" s="28" t="str">
        <f>image("https://i.imgur.com/EkqYYOB.png")</f>
        <v/>
      </c>
      <c r="M86" s="20" t="str">
        <f>image("https://pokejungle.net/sprites/normal/"&amp;L85&amp;".png")</f>
        <v/>
      </c>
      <c r="N86" s="16" t="str">
        <f>image("https://i.imgur.com/XIu6jDl.png")</f>
        <v/>
      </c>
      <c r="O86" s="20" t="str">
        <f>image("https://pokejungle.net/sprites/normal/"&amp;N85&amp;".png")</f>
        <v/>
      </c>
      <c r="P86" s="16" t="str">
        <f>image("https://i.imgur.com/XNzvO0H.png")</f>
        <v/>
      </c>
      <c r="Q86" s="20" t="str">
        <f>image("https://pokejungle.net/sprites/normal/"&amp;P85&amp;".png")</f>
        <v/>
      </c>
      <c r="R86" s="33"/>
    </row>
    <row r="87" ht="26.25" customHeight="1">
      <c r="A87" s="15"/>
      <c r="B87" s="35" t="str">
        <f>image("https://i.imgur.com/XNzvO0H.png")</f>
        <v/>
      </c>
      <c r="C87" s="36"/>
      <c r="D87" s="35" t="str">
        <f>image("https://i.imgur.com/XNzvO0H.png")</f>
        <v/>
      </c>
      <c r="E87" s="36"/>
      <c r="F87" s="35" t="str">
        <f>image("https://i.imgur.com/XNzvO0H.png")</f>
        <v/>
      </c>
      <c r="G87" s="36"/>
      <c r="H87" s="38" t="str">
        <f>image("https://i.imgur.com/rJhTvoD.png")</f>
        <v/>
      </c>
      <c r="I87" s="36"/>
      <c r="J87" s="38"/>
      <c r="K87" s="36"/>
      <c r="L87" s="38" t="str">
        <f>image("https://i.imgur.com/rJhTvoD.png")</f>
        <v/>
      </c>
      <c r="M87" s="36"/>
      <c r="N87" s="38" t="str">
        <f>image("https://i.imgur.com/lpOVjtL.png")</f>
        <v/>
      </c>
      <c r="O87" s="36"/>
      <c r="P87" s="38" t="str">
        <f>image("https://i.imgur.com/0ArMZjJ.png")</f>
        <v/>
      </c>
      <c r="Q87" s="36"/>
      <c r="R87" s="33"/>
    </row>
    <row r="88" ht="26.25" customHeight="1">
      <c r="A88" s="15"/>
      <c r="B88" s="43" t="str">
        <f>image("https://i.imgur.com/JDgAgAO.png")</f>
        <v/>
      </c>
      <c r="C88" s="41"/>
      <c r="D88" s="43" t="str">
        <f>image("https://i.imgur.com/JDgAgAO.png")</f>
        <v/>
      </c>
      <c r="E88" s="41"/>
      <c r="F88" s="43" t="str">
        <f>image("https://i.imgur.com/JDgAgAO.png")</f>
        <v/>
      </c>
      <c r="G88" s="41"/>
      <c r="H88" s="40"/>
      <c r="I88" s="41"/>
      <c r="J88" s="40"/>
      <c r="K88" s="41"/>
      <c r="L88" s="43"/>
      <c r="M88" s="41"/>
      <c r="N88" s="40" t="str">
        <f>image("https://i.imgur.com/N2Wqr43.png")</f>
        <v/>
      </c>
      <c r="O88" s="41"/>
      <c r="P88" s="43" t="str">
        <f>image("https://i.imgur.com/IIajvuS.png")</f>
        <v/>
      </c>
      <c r="Q88" s="41"/>
      <c r="R88" s="33"/>
    </row>
    <row r="89" ht="26.25" customHeight="1">
      <c r="A89" s="15"/>
      <c r="B89" s="16" t="str">
        <f>image("https://i.imgur.com/XNzvO0H.png")</f>
        <v/>
      </c>
      <c r="C89" s="20" t="str">
        <f>image("https://pokejungle.net/sprites/shiny/"&amp;B85&amp;".png")</f>
        <v/>
      </c>
      <c r="D89" s="16" t="str">
        <f>image("https://i.imgur.com/XNzvO0H.png")</f>
        <v/>
      </c>
      <c r="E89" s="20" t="str">
        <f>image("https://pokejungle.net/sprites/shiny/"&amp;D85&amp;".png")</f>
        <v/>
      </c>
      <c r="F89" s="16" t="str">
        <f>image("https://i.imgur.com/XNzvO0H.png")</f>
        <v/>
      </c>
      <c r="G89" s="20" t="str">
        <f>image("https://pokejungle.net/sprites/shiny/"&amp;F85&amp;".png")</f>
        <v/>
      </c>
      <c r="H89" s="16" t="str">
        <f>image("https://i.imgur.com/EkqYYOB.png")</f>
        <v/>
      </c>
      <c r="I89" s="20" t="str">
        <f>image("https://pokejungle.net/sprites/shiny/"&amp;H85&amp;".png")</f>
        <v/>
      </c>
      <c r="J89" s="16" t="str">
        <f>image("https://i.imgur.com/beHgI95.png")</f>
        <v/>
      </c>
      <c r="K89" s="20" t="str">
        <f>image("https://pokejungle.net/sprites/shiny/"&amp;J85&amp;"-1.png")</f>
        <v/>
      </c>
      <c r="L89" s="16" t="str">
        <f>image("https://i.imgur.com/EkqYYOB.png")</f>
        <v/>
      </c>
      <c r="M89" s="20" t="str">
        <f>image("https://pokejungle.net/sprites/shiny/"&amp;L85&amp;".png")</f>
        <v/>
      </c>
      <c r="N89" s="16" t="str">
        <f>image("https://i.imgur.com/aeqHLEh.png")</f>
        <v/>
      </c>
      <c r="O89" s="20" t="str">
        <f>image("https://img.pokemondb.net/sprites/home/shiny/wo-chien.png")</f>
        <v/>
      </c>
      <c r="P89" s="16" t="str">
        <f>image("https://i.imgur.com/aeqHLEh.png")</f>
        <v/>
      </c>
      <c r="Q89" s="20" t="str">
        <f>image("https://img.pokemondb.net/sprites/home/shiny/chien-pao.png")</f>
        <v/>
      </c>
      <c r="R89" s="33"/>
    </row>
    <row r="90" ht="26.25" customHeight="1">
      <c r="A90" s="15"/>
      <c r="B90" s="38" t="str">
        <f>image("https://i.imgur.com/XzidFHI.png")</f>
        <v/>
      </c>
      <c r="C90" s="36"/>
      <c r="D90" s="38" t="str">
        <f>image("https://i.imgur.com/XzidFHI.png")</f>
        <v/>
      </c>
      <c r="E90" s="36"/>
      <c r="F90" s="38" t="str">
        <f>image("https://i.imgur.com/XzidFHI.png")</f>
        <v/>
      </c>
      <c r="G90" s="36"/>
      <c r="H90" s="38" t="str">
        <f>image("https://i.imgur.com/rJhTvoD.png")</f>
        <v/>
      </c>
      <c r="I90" s="36"/>
      <c r="J90" s="38"/>
      <c r="K90" s="36"/>
      <c r="L90" s="38" t="str">
        <f>image("https://i.imgur.com/rJhTvoD.png")</f>
        <v/>
      </c>
      <c r="M90" s="36"/>
      <c r="N90" s="38"/>
      <c r="O90" s="36"/>
      <c r="P90" s="38"/>
      <c r="Q90" s="36"/>
      <c r="R90" s="33"/>
    </row>
    <row r="91" ht="26.25" customHeight="1">
      <c r="A91" s="15"/>
      <c r="B91" s="43" t="str">
        <f>image("https://i.imgur.com/IIajvuS.png")</f>
        <v/>
      </c>
      <c r="C91" s="41"/>
      <c r="D91" s="43" t="str">
        <f>image("https://i.imgur.com/IIajvuS.png")</f>
        <v/>
      </c>
      <c r="E91" s="41"/>
      <c r="F91" s="43" t="str">
        <f>image("https://i.imgur.com/IIajvuS.png")</f>
        <v/>
      </c>
      <c r="G91" s="41"/>
      <c r="H91" s="43"/>
      <c r="I91" s="41"/>
      <c r="J91" s="40"/>
      <c r="K91" s="41"/>
      <c r="L91" s="43"/>
      <c r="M91" s="41"/>
      <c r="N91" s="40"/>
      <c r="O91" s="41"/>
      <c r="P91" s="40"/>
      <c r="Q91" s="41"/>
      <c r="R91" s="33"/>
    </row>
    <row r="92" ht="18.75" customHeight="1">
      <c r="A92" s="6"/>
      <c r="B92" s="8" t="s">
        <v>2175</v>
      </c>
      <c r="C92" s="10" t="s">
        <v>2176</v>
      </c>
      <c r="D92" s="8" t="s">
        <v>2177</v>
      </c>
      <c r="E92" s="10" t="s">
        <v>2178</v>
      </c>
      <c r="F92" s="8" t="s">
        <v>2179</v>
      </c>
      <c r="G92" s="10" t="s">
        <v>2180</v>
      </c>
      <c r="H92" s="8" t="s">
        <v>2181</v>
      </c>
      <c r="I92" s="10" t="s">
        <v>2182</v>
      </c>
      <c r="J92" s="8" t="s">
        <v>2183</v>
      </c>
      <c r="K92" s="10" t="s">
        <v>2184</v>
      </c>
      <c r="L92" s="8" t="s">
        <v>2185</v>
      </c>
      <c r="M92" s="10" t="s">
        <v>2186</v>
      </c>
      <c r="N92" s="8" t="s">
        <v>2187</v>
      </c>
      <c r="O92" s="10" t="s">
        <v>2188</v>
      </c>
      <c r="P92" s="8" t="s">
        <v>2189</v>
      </c>
      <c r="Q92" s="10" t="s">
        <v>2190</v>
      </c>
      <c r="R92" s="14"/>
    </row>
    <row r="93" ht="26.25" customHeight="1">
      <c r="A93" s="15"/>
      <c r="B93" s="16" t="str">
        <f>image("https://i.imgur.com/N2Wqr43.png")</f>
        <v/>
      </c>
      <c r="C93" s="20" t="str">
        <f>image("https://pokejungle.net/sprites/normal/"&amp;B92&amp;".png")</f>
        <v/>
      </c>
      <c r="D93" s="16" t="str">
        <f>image("https://i.imgur.com/RqSOGo6.png")</f>
        <v/>
      </c>
      <c r="E93" s="20" t="str">
        <f>image("https://pokejungle.net/sprites/normal/"&amp;D92&amp;".png")</f>
        <v/>
      </c>
      <c r="F93" s="16" t="str">
        <f>image("https://i.imgur.com/SF5CZ6U.png")</f>
        <v/>
      </c>
      <c r="G93" s="20" t="str">
        <f>image("https://pokejungle.net/sprites/normal/"&amp;F92&amp;".png")</f>
        <v/>
      </c>
      <c r="H93" s="24" t="str">
        <f>image("https://i.imgur.com/VQL4lPa.png")</f>
        <v/>
      </c>
      <c r="I93" s="20" t="str">
        <f>image("https://pokejungle.net/sprites/normal/"&amp;H92&amp;".png")</f>
        <v/>
      </c>
      <c r="J93" s="16" t="str">
        <f>image("https://i.imgur.com/JOd7Boe.png")</f>
        <v/>
      </c>
      <c r="K93" s="20" t="str">
        <f>image("https://pokejungle.net/sprites/normal/"&amp;J92&amp;".png")</f>
        <v/>
      </c>
      <c r="L93" s="28" t="str">
        <f>image("https://i.imgur.com/nNTmuH8.png")</f>
        <v/>
      </c>
      <c r="M93" s="20" t="str">
        <f>image("https://pokejungle.net/sprites/normal/"&amp;L92&amp;".png")</f>
        <v/>
      </c>
      <c r="N93" s="16" t="str">
        <f>image("https://i.imgur.com/XNzvO0H.png")</f>
        <v/>
      </c>
      <c r="O93" s="20" t="str">
        <f>image("https://pokejungle.net/sprites/normal/"&amp;N92&amp;".png")</f>
        <v/>
      </c>
      <c r="P93" s="16" t="str">
        <f>image("https://i.imgur.com/VQL4lPa.png")</f>
        <v/>
      </c>
      <c r="Q93" s="20" t="str">
        <f>image("https://pokejungle.net/sprites/normal/"&amp;P92&amp;".png")</f>
        <v/>
      </c>
      <c r="R93" s="33"/>
    </row>
    <row r="94" ht="26.25" customHeight="1">
      <c r="A94" s="15"/>
      <c r="B94" s="38" t="str">
        <f>image("https://i.imgur.com/XzidFHI.png")</f>
        <v/>
      </c>
      <c r="C94" s="36"/>
      <c r="D94" s="38" t="str">
        <f>image("https://i.imgur.com/rJhTvoD.png")</f>
        <v/>
      </c>
      <c r="E94" s="36"/>
      <c r="F94" s="35" t="str">
        <f>image("https://i.imgur.com/JDgAgAO.png")</f>
        <v/>
      </c>
      <c r="G94" s="36"/>
      <c r="H94" s="37" t="str">
        <f>image("https://i.imgur.com/0ArMZjJ.png")</f>
        <v/>
      </c>
      <c r="I94" s="36"/>
      <c r="J94" s="38" t="str">
        <f>image("https://i.imgur.com/GyNf8BH.png")</f>
        <v/>
      </c>
      <c r="K94" s="36"/>
      <c r="L94" s="35" t="str">
        <f>image("https://i.imgur.com/zpybKax.png")</f>
        <v/>
      </c>
      <c r="M94" s="36"/>
      <c r="N94" s="38" t="str">
        <f>image("https://i.imgur.com/XI18XGu.png")</f>
        <v/>
      </c>
      <c r="O94" s="36"/>
      <c r="P94" s="38" t="str">
        <f>image("https://i.imgur.com/XIu6jDl.png")</f>
        <v/>
      </c>
      <c r="Q94" s="36"/>
      <c r="R94" s="33"/>
    </row>
    <row r="95" ht="26.25" customHeight="1">
      <c r="A95" s="15"/>
      <c r="B95" s="40" t="str">
        <f>image("https://i.imgur.com/lpOVjtL.png")</f>
        <v/>
      </c>
      <c r="C95" s="41"/>
      <c r="D95" s="40" t="str">
        <f>image("https://i.imgur.com/lKAfx6k.png")</f>
        <v/>
      </c>
      <c r="E95" s="41"/>
      <c r="F95" s="40" t="str">
        <f>image("https://i.imgur.com/ef1o2lD.png")</f>
        <v/>
      </c>
      <c r="G95" s="41"/>
      <c r="H95" s="43" t="str">
        <f t="shared" ref="H95:H96" si="6">image("https://i.imgur.com/a9HBljD.png")</f>
        <v/>
      </c>
      <c r="I95" s="41"/>
      <c r="J95" s="40" t="str">
        <f>image("https://i.imgur.com/XI18XGu.png")</f>
        <v/>
      </c>
      <c r="K95" s="41"/>
      <c r="L95" s="43" t="str">
        <f>image("https://i.imgur.com/IIajvuS.png")</f>
        <v/>
      </c>
      <c r="M95" s="41"/>
      <c r="N95" s="40" t="str">
        <f>image("https://i.imgur.com/nNTmuH8.png")</f>
        <v/>
      </c>
      <c r="O95" s="41"/>
      <c r="P95" s="40"/>
      <c r="Q95" s="41"/>
      <c r="R95" s="33"/>
    </row>
    <row r="96" ht="26.25" customHeight="1">
      <c r="A96" s="15"/>
      <c r="B96" s="16" t="str">
        <f>image("https://i.imgur.com/aeqHLEh.png")</f>
        <v/>
      </c>
      <c r="C96" s="20" t="str">
        <f>image("https://img.pokemondb.net/sprites/home/shiny/ting-lu.png")</f>
        <v/>
      </c>
      <c r="D96" s="16" t="str">
        <f>image("https://i.imgur.com/aeqHLEh.png")</f>
        <v/>
      </c>
      <c r="E96" s="20" t="str">
        <f>image("https://img.pokemondb.net/sprites/home/shiny/chi-yu.png")</f>
        <v/>
      </c>
      <c r="F96" s="16" t="str">
        <f>image("https://i.imgur.com/rJhTvoD.png")</f>
        <v/>
      </c>
      <c r="G96" s="20" t="str">
        <f>image("https://pokejungle.net/sprites/shiny/"&amp;F92&amp;".png")</f>
        <v/>
      </c>
      <c r="H96" s="16" t="str">
        <f t="shared" si="6"/>
        <v/>
      </c>
      <c r="I96" s="20" t="str">
        <f>image("https://pokejungle.net/sprites/shiny/"&amp;H92&amp;".png")</f>
        <v/>
      </c>
      <c r="J96" s="16" t="str">
        <f>image("https://i.imgur.com/aeqHLEh.png")</f>
        <v/>
      </c>
      <c r="K96" s="20" t="str">
        <f>image("https://img.pokemondb.net/sprites/home/shiny/koraidon.png")</f>
        <v/>
      </c>
      <c r="L96" s="16" t="str">
        <f>image("https://i.imgur.com/aeqHLEh.png")</f>
        <v/>
      </c>
      <c r="M96" s="20" t="str">
        <f>image("https://img.pokemondb.net/sprites/home/shiny/miraidon.png")</f>
        <v/>
      </c>
      <c r="N96" s="77" t="s">
        <v>995</v>
      </c>
      <c r="O96" s="20" t="str">
        <f>image("https://img.pokemondb.net/sprites/home/shiny/walking-wake.png")</f>
        <v/>
      </c>
      <c r="P96" s="77" t="s">
        <v>995</v>
      </c>
      <c r="Q96" s="20" t="str">
        <f>image("https://img.pokemondb.net/sprites/home/shiny/iron-leaves.png")</f>
        <v/>
      </c>
      <c r="R96" s="33"/>
    </row>
    <row r="97" ht="26.25" customHeight="1">
      <c r="A97" s="15"/>
      <c r="B97" s="38"/>
      <c r="C97" s="36"/>
      <c r="D97" s="38"/>
      <c r="E97" s="36"/>
      <c r="F97" s="35" t="str">
        <f>image("https://i.imgur.com/JDgAgAO.png")</f>
        <v/>
      </c>
      <c r="G97" s="36"/>
      <c r="H97" s="46" t="str">
        <f>image("https://i.imgur.com/0ArMZjJ.png")</f>
        <v/>
      </c>
      <c r="I97" s="36"/>
      <c r="J97" s="38"/>
      <c r="K97" s="36"/>
      <c r="L97" s="38"/>
      <c r="M97" s="36"/>
      <c r="N97" s="78"/>
      <c r="O97" s="36"/>
      <c r="P97" s="78"/>
      <c r="Q97" s="36"/>
      <c r="R97" s="33"/>
    </row>
    <row r="98" ht="26.25" customHeight="1">
      <c r="A98" s="15"/>
      <c r="B98" s="40"/>
      <c r="C98" s="41"/>
      <c r="D98" s="40"/>
      <c r="E98" s="41"/>
      <c r="F98" s="40" t="str">
        <f>image("https://i.imgur.com/VQL4lPa.png")</f>
        <v/>
      </c>
      <c r="G98" s="41"/>
      <c r="H98" s="40" t="str">
        <f>image("https://i.imgur.com/JOd7Boe.png")</f>
        <v/>
      </c>
      <c r="I98" s="41"/>
      <c r="J98" s="40"/>
      <c r="K98" s="41"/>
      <c r="L98" s="40"/>
      <c r="M98" s="41"/>
      <c r="N98" s="79"/>
      <c r="O98" s="41"/>
      <c r="P98" s="79"/>
      <c r="Q98" s="41"/>
      <c r="R98" s="33"/>
    </row>
    <row r="99" ht="18.75" customHeight="1">
      <c r="A99" s="6"/>
      <c r="B99" s="8" t="s">
        <v>2194</v>
      </c>
      <c r="C99" s="10" t="s">
        <v>2195</v>
      </c>
      <c r="D99" s="8" t="s">
        <v>2196</v>
      </c>
      <c r="E99" s="68" t="s">
        <v>2197</v>
      </c>
      <c r="F99" s="8" t="s">
        <v>2198</v>
      </c>
      <c r="G99" s="10" t="s">
        <v>2199</v>
      </c>
      <c r="H99" s="8" t="s">
        <v>2200</v>
      </c>
      <c r="I99" s="10" t="s">
        <v>2201</v>
      </c>
      <c r="J99" s="8" t="s">
        <v>2202</v>
      </c>
      <c r="K99" s="10" t="s">
        <v>2203</v>
      </c>
      <c r="L99" s="8" t="s">
        <v>2204</v>
      </c>
      <c r="M99" s="10" t="s">
        <v>2205</v>
      </c>
      <c r="N99" s="8" t="s">
        <v>2206</v>
      </c>
      <c r="O99" s="87" t="s">
        <v>2207</v>
      </c>
      <c r="P99" s="8" t="s">
        <v>2206</v>
      </c>
      <c r="Q99" s="87" t="s">
        <v>2208</v>
      </c>
      <c r="R99" s="14"/>
    </row>
    <row r="100" ht="26.25" customHeight="1">
      <c r="A100" s="15"/>
      <c r="B100" s="24" t="str">
        <f>image("https://i.imgur.com/GyNf8BH.png")</f>
        <v/>
      </c>
      <c r="C100" s="20" t="str">
        <f>image("https://pokejungle.net/sprites/normal/"&amp;B99&amp;".png")</f>
        <v/>
      </c>
      <c r="D100" s="16" t="str">
        <f>image("https://i.imgur.com/N2Wqr43.png")</f>
        <v/>
      </c>
      <c r="E100" s="20" t="str">
        <f>image("https://pokejungle.net/sprites/normal/"&amp;D99&amp;".png")</f>
        <v/>
      </c>
      <c r="F100" s="16" t="str">
        <f>image("https://i.imgur.com/N2Wqr43.png")</f>
        <v/>
      </c>
      <c r="G100" s="20" t="str">
        <f>image("https://pokejungle.net/sprites/normal/"&amp;F99&amp;".png")</f>
        <v/>
      </c>
      <c r="H100" s="24" t="str">
        <f>image("https://i.imgur.com/N2Wqr43.png")</f>
        <v/>
      </c>
      <c r="I100" s="20" t="str">
        <f>image("https://pokejungle.net/sprites/normal/"&amp;H99&amp;".png")</f>
        <v/>
      </c>
      <c r="J100" s="16" t="str">
        <f>image("https://i.imgur.com/JDgAgAO.png")</f>
        <v/>
      </c>
      <c r="K100" s="20" t="str">
        <f>image("https://pokejungle.net/sprites/normal/"&amp;J99&amp;".png")</f>
        <v/>
      </c>
      <c r="L100" s="28" t="str">
        <f>image("https://i.imgur.com/EkqYYOB.png")</f>
        <v/>
      </c>
      <c r="M100" s="20" t="str">
        <f>image("https://pokejungle.net/sprites/normal/"&amp;L99&amp;".png")</f>
        <v/>
      </c>
      <c r="N100" s="16" t="str">
        <f>image("https://i.imgur.com/VQL4lPa.png")</f>
        <v/>
      </c>
      <c r="O100" s="20" t="str">
        <f>image("https://pokejungle.net/sprites/normal/"&amp;N99&amp;".png")</f>
        <v/>
      </c>
      <c r="P100" s="16" t="str">
        <f>image("https://i.imgur.com/XNzvO0H.png")</f>
        <v/>
      </c>
      <c r="Q100" s="20" t="str">
        <f>image("https://pokejungle.net/sprites/normal/"&amp;P99&amp;"-1.png")</f>
        <v/>
      </c>
      <c r="R100" s="33"/>
    </row>
    <row r="101" ht="26.25" customHeight="1">
      <c r="A101" s="15"/>
      <c r="B101" s="38" t="str">
        <f>image("https://i.imgur.com/VQL4lPa.png")</f>
        <v/>
      </c>
      <c r="C101" s="36"/>
      <c r="D101" s="35" t="str">
        <f>image("https://i.imgur.com/XIu6jDl.png")</f>
        <v/>
      </c>
      <c r="E101" s="36"/>
      <c r="F101" s="35" t="str">
        <f>image("https://i.imgur.com/XIu6jDl.png")</f>
        <v/>
      </c>
      <c r="G101" s="36"/>
      <c r="H101" s="37" t="str">
        <f>image("https://i.imgur.com/EkqYYOB.png")</f>
        <v/>
      </c>
      <c r="I101" s="36"/>
      <c r="J101" s="35" t="str">
        <f>image("https://i.imgur.com/XzidFHI.png")</f>
        <v/>
      </c>
      <c r="K101" s="36"/>
      <c r="L101" s="35" t="str">
        <f>image("https://i.imgur.com/JOd7Boe.png")</f>
        <v/>
      </c>
      <c r="M101" s="36"/>
      <c r="N101" s="38" t="str">
        <f>image("https://i.imgur.com/N2Wqr43.png")</f>
        <v/>
      </c>
      <c r="O101" s="36"/>
      <c r="P101" s="38" t="str">
        <f>image("https://i.imgur.com/XzidFHI.png")</f>
        <v/>
      </c>
      <c r="Q101" s="36"/>
      <c r="R101" s="33"/>
    </row>
    <row r="102" ht="26.25" customHeight="1">
      <c r="A102" s="15"/>
      <c r="B102" s="40" t="str">
        <f>image("https://i.imgur.com/bxys1sd.png")</f>
        <v/>
      </c>
      <c r="C102" s="41"/>
      <c r="D102" s="40" t="str">
        <f>image("https://i.imgur.com/VQL4lPa.png")</f>
        <v/>
      </c>
      <c r="E102" s="41"/>
      <c r="F102" s="40" t="str">
        <f>image("https://i.imgur.com/VQL4lPa.png")</f>
        <v/>
      </c>
      <c r="G102" s="41"/>
      <c r="H102" s="40" t="str">
        <f>image("https://i.imgur.com/VQL4lPa.png")</f>
        <v/>
      </c>
      <c r="I102" s="41"/>
      <c r="J102" s="40" t="str">
        <f>image("https://i.imgur.com/EkqYYOB.png")</f>
        <v/>
      </c>
      <c r="K102" s="41"/>
      <c r="L102" s="43" t="str">
        <f>image("https://i.imgur.com/XI18XGu.png")</f>
        <v/>
      </c>
      <c r="M102" s="41"/>
      <c r="N102" s="40" t="str">
        <f>image("https://i.imgur.com/XIu6jDl.png")</f>
        <v/>
      </c>
      <c r="O102" s="41"/>
      <c r="P102" s="40" t="str">
        <f>image("https://i.imgur.com/ef1o2lD.png")</f>
        <v/>
      </c>
      <c r="Q102" s="41"/>
      <c r="R102" s="33"/>
    </row>
    <row r="103" ht="26.25" customHeight="1">
      <c r="A103" s="15"/>
      <c r="B103" s="16" t="str">
        <f>image("https://i.imgur.com/rJhTvoD.png")</f>
        <v/>
      </c>
      <c r="C103" s="20" t="str">
        <f>image("https://pokejungle.net/sprites/shiny/"&amp;B99&amp;".png")</f>
        <v/>
      </c>
      <c r="D103" s="16" t="str">
        <f>image("https://i.imgur.com/N2Wqr43.png")</f>
        <v/>
      </c>
      <c r="E103" s="20" t="str">
        <f>image("https://pokejungle.net/sprites/shiny/"&amp;D99&amp;".png")</f>
        <v/>
      </c>
      <c r="F103" s="16" t="str">
        <f>image("https://i.imgur.com/N2Wqr43.png")</f>
        <v/>
      </c>
      <c r="G103" s="20" t="str">
        <f>image("https://pokejungle.net/sprites/shiny/"&amp;F99&amp;".png")</f>
        <v/>
      </c>
      <c r="H103" s="77" t="s">
        <v>995</v>
      </c>
      <c r="I103" s="20" t="str">
        <f>image("https://img.pokemondb.net/sprites/home/shiny/okidogi.png")</f>
        <v/>
      </c>
      <c r="J103" s="77" t="s">
        <v>995</v>
      </c>
      <c r="K103" s="20" t="str">
        <f>image("https://img.pokemondb.net/sprites/home/shiny/munkidori.png")</f>
        <v/>
      </c>
      <c r="L103" s="77" t="s">
        <v>995</v>
      </c>
      <c r="M103" s="20" t="str">
        <f>image("https://img.pokemondb.net/sprites/home/shiny/fezandipiti.png")</f>
        <v/>
      </c>
      <c r="N103" s="77" t="s">
        <v>995</v>
      </c>
      <c r="O103" s="20" t="str">
        <f>image("https://img.pokemondb.net/sprites/home/shiny/ogerpon-teal.png")</f>
        <v/>
      </c>
      <c r="P103" s="77" t="s">
        <v>995</v>
      </c>
      <c r="Q103" s="20" t="str">
        <f>image("https://img.pokemondb.net/sprites/home/shiny/ogerpon-wellspring.png")</f>
        <v/>
      </c>
      <c r="R103" s="33"/>
    </row>
    <row r="104" ht="26.25" customHeight="1">
      <c r="A104" s="15"/>
      <c r="B104" s="38" t="str">
        <f>image("https://i.imgur.com/EkqYYOB.png")</f>
        <v/>
      </c>
      <c r="C104" s="36"/>
      <c r="D104" s="46" t="str">
        <f>image("https://i.imgur.com/XIu6jDl.png")</f>
        <v/>
      </c>
      <c r="E104" s="36"/>
      <c r="F104" s="35" t="str">
        <f>image("https://i.imgur.com/XIu6jDl.png")</f>
        <v/>
      </c>
      <c r="G104" s="36"/>
      <c r="H104" s="78"/>
      <c r="I104" s="36"/>
      <c r="J104" s="78"/>
      <c r="K104" s="36"/>
      <c r="L104" s="78"/>
      <c r="M104" s="36"/>
      <c r="N104" s="78"/>
      <c r="O104" s="36"/>
      <c r="P104" s="78"/>
      <c r="Q104" s="36"/>
      <c r="R104" s="33"/>
    </row>
    <row r="105" ht="26.25" customHeight="1">
      <c r="A105" s="15"/>
      <c r="B105" s="43" t="str">
        <f>image("https://i.imgur.com/VQL4lPa.png")</f>
        <v/>
      </c>
      <c r="C105" s="41"/>
      <c r="D105" s="43" t="str">
        <f>image("https://i.imgur.com/VQL4lPa.png")</f>
        <v/>
      </c>
      <c r="E105" s="41"/>
      <c r="F105" s="40" t="str">
        <f>image("https://i.imgur.com/VQL4lPa.png")</f>
        <v/>
      </c>
      <c r="G105" s="41"/>
      <c r="H105" s="79"/>
      <c r="I105" s="41"/>
      <c r="J105" s="79"/>
      <c r="K105" s="41"/>
      <c r="L105" s="79"/>
      <c r="M105" s="41"/>
      <c r="N105" s="79"/>
      <c r="O105" s="41"/>
      <c r="P105" s="79"/>
      <c r="Q105" s="41"/>
      <c r="R105" s="33"/>
    </row>
    <row r="106" ht="18.75" customHeight="1">
      <c r="A106" s="6"/>
      <c r="B106" s="8" t="s">
        <v>2206</v>
      </c>
      <c r="C106" s="87" t="s">
        <v>2224</v>
      </c>
      <c r="D106" s="8" t="s">
        <v>2206</v>
      </c>
      <c r="E106" s="87" t="s">
        <v>2225</v>
      </c>
      <c r="F106" s="8" t="s">
        <v>2226</v>
      </c>
      <c r="G106" s="10" t="s">
        <v>2227</v>
      </c>
      <c r="H106" s="8" t="s">
        <v>2228</v>
      </c>
      <c r="I106" s="10" t="s">
        <v>2229</v>
      </c>
      <c r="J106" s="8" t="s">
        <v>2230</v>
      </c>
      <c r="K106" s="10" t="s">
        <v>2231</v>
      </c>
      <c r="L106" s="8" t="s">
        <v>2232</v>
      </c>
      <c r="M106" s="10" t="s">
        <v>2233</v>
      </c>
      <c r="N106" s="8" t="s">
        <v>2234</v>
      </c>
      <c r="O106" s="10" t="s">
        <v>2235</v>
      </c>
      <c r="P106" s="8" t="s">
        <v>2236</v>
      </c>
      <c r="Q106" s="10" t="s">
        <v>2237</v>
      </c>
      <c r="R106" s="14"/>
    </row>
    <row r="107" ht="26.25" customHeight="1">
      <c r="A107" s="15"/>
      <c r="B107" s="16" t="str">
        <f>image("https://i.imgur.com/lKAfx6k.png")</f>
        <v/>
      </c>
      <c r="C107" s="20" t="str">
        <f>image("https://pokejungle.net/sprites/normal/"&amp;B106&amp;"-2.png")</f>
        <v/>
      </c>
      <c r="D107" s="16" t="str">
        <f>image("https://i.imgur.com/NkILW1J.png")</f>
        <v/>
      </c>
      <c r="E107" s="20" t="str">
        <f>image("https://pokejungle.net/sprites/normal/"&amp;D106&amp;"-3.png")</f>
        <v/>
      </c>
      <c r="F107" s="16" t="str">
        <f>image("https://i.imgur.com/SF5CZ6U.png")</f>
        <v/>
      </c>
      <c r="G107" s="20" t="str">
        <f>image("https://pokejungle.net/sprites/normal/"&amp;F106&amp;".png")</f>
        <v/>
      </c>
      <c r="H107" s="24" t="str">
        <f>image("https://i.imgur.com/GyNf8BH.png")</f>
        <v/>
      </c>
      <c r="I107" s="20" t="str">
        <f>image("https://pokejungle.net/sprites/normal/"&amp;H106&amp;".png")</f>
        <v/>
      </c>
      <c r="J107" s="16" t="str">
        <f>image("https://i.imgur.com/RqSOGo6.png")</f>
        <v/>
      </c>
      <c r="K107" s="20" t="str">
        <f>image("https://pokejungle.net/sprites/normal/"&amp;J106&amp;".png")</f>
        <v/>
      </c>
      <c r="L107" s="28" t="str">
        <f>image("https://i.imgur.com/rJhTvoD.png")</f>
        <v/>
      </c>
      <c r="M107" s="20" t="str">
        <f>image("https://pokejungle.net/sprites/normal/"&amp;L106&amp;".png")</f>
        <v/>
      </c>
      <c r="N107" s="16" t="str">
        <f>image("https://i.imgur.com/beHgI95.png")</f>
        <v/>
      </c>
      <c r="O107" s="20" t="str">
        <f>image("https://pokejungle.net/sprites/normal/"&amp;N106&amp;".png")</f>
        <v/>
      </c>
      <c r="P107" s="16" t="str">
        <f>image("https://i.imgur.com/zpybKax.png")</f>
        <v/>
      </c>
      <c r="Q107" s="20" t="str">
        <f>image("https://pokejungle.net/sprites/normal/"&amp;P106&amp;".png")</f>
        <v/>
      </c>
      <c r="R107" s="33"/>
    </row>
    <row r="108" ht="26.25" customHeight="1">
      <c r="A108" s="15"/>
      <c r="B108" s="38" t="str">
        <f>image("https://i.imgur.com/RqSOGo6.png")</f>
        <v/>
      </c>
      <c r="C108" s="36"/>
      <c r="D108" s="35" t="str">
        <f>image("https://i.imgur.com/JDgAgAO.png")</f>
        <v/>
      </c>
      <c r="E108" s="36"/>
      <c r="F108" s="35" t="str">
        <f>image("https://i.imgur.com/NkILW1J.png")</f>
        <v/>
      </c>
      <c r="G108" s="36"/>
      <c r="H108" s="37" t="str">
        <f>image("https://i.imgur.com/VQL4lPa.png")</f>
        <v/>
      </c>
      <c r="I108" s="36"/>
      <c r="J108" s="38" t="str">
        <f>image("https://i.imgur.com/rJhTvoD.png")</f>
        <v/>
      </c>
      <c r="K108" s="36"/>
      <c r="L108" s="35" t="str">
        <f>image("https://i.imgur.com/lKAfx6k.png")</f>
        <v/>
      </c>
      <c r="M108" s="36"/>
      <c r="N108" s="38" t="str">
        <f>image("https://i.imgur.com/rJhTvoD.png")</f>
        <v/>
      </c>
      <c r="O108" s="36"/>
      <c r="P108" s="38" t="str">
        <f>image("https://i.imgur.com/JDgAgAO.png")</f>
        <v/>
      </c>
      <c r="Q108" s="36"/>
      <c r="R108" s="33"/>
    </row>
    <row r="109" ht="26.25" customHeight="1">
      <c r="A109" s="15"/>
      <c r="B109" s="40" t="str">
        <f>image("https://i.imgur.com/rJhTvoD.png")</f>
        <v/>
      </c>
      <c r="C109" s="41"/>
      <c r="D109" s="40" t="str">
        <f>image("https://i.imgur.com/XzidFHI.png")</f>
        <v/>
      </c>
      <c r="E109" s="41"/>
      <c r="F109" s="40" t="str">
        <f>image("https://i.imgur.com/XzidFHI.png")</f>
        <v/>
      </c>
      <c r="G109" s="41"/>
      <c r="H109" s="40" t="str">
        <f>image("https://i.imgur.com/bxys1sd.png")</f>
        <v/>
      </c>
      <c r="I109" s="41"/>
      <c r="J109" s="40" t="str">
        <f>image("https://i.imgur.com/VQL4lPa.png")</f>
        <v/>
      </c>
      <c r="K109" s="41"/>
      <c r="L109" s="43" t="str">
        <f>image("https://i.imgur.com/beHgI95.png")</f>
        <v/>
      </c>
      <c r="M109" s="41"/>
      <c r="N109" s="40" t="str">
        <f>image("https://i.imgur.com/RqSOGo6.png")</f>
        <v/>
      </c>
      <c r="O109" s="41"/>
      <c r="P109" s="40" t="str">
        <f>image("https://i.imgur.com/XzidFHI.png")</f>
        <v/>
      </c>
      <c r="Q109" s="41"/>
      <c r="R109" s="33"/>
    </row>
    <row r="110" ht="26.25" customHeight="1">
      <c r="A110" s="15"/>
      <c r="B110" s="77" t="s">
        <v>995</v>
      </c>
      <c r="C110" s="20" t="str">
        <f>image("https://img.pokemondb.net/sprites/home/shiny/ogerpon-hearthflame.png")</f>
        <v/>
      </c>
      <c r="D110" s="77" t="s">
        <v>995</v>
      </c>
      <c r="E110" s="20" t="str">
        <f>image("https://img.pokemondb.net/sprites/home/shiny/ogerpon-cornerstone.png")</f>
        <v/>
      </c>
      <c r="F110" s="16" t="str">
        <f>image("https://i.imgur.com/NkILW1J.png")</f>
        <v/>
      </c>
      <c r="G110" s="20" t="str">
        <f>image("https://pokejungle.net/sprites/shiny/"&amp;F106&amp;".png")</f>
        <v/>
      </c>
      <c r="H110" s="16" t="str">
        <f>image("https://i.imgur.com/rJhTvoD.png")</f>
        <v/>
      </c>
      <c r="I110" s="20" t="str">
        <f>image("https://pokejungle.net/sprites/shiny/"&amp;H106&amp;".png")</f>
        <v/>
      </c>
      <c r="J110" s="77" t="s">
        <v>995</v>
      </c>
      <c r="K110" s="20" t="str">
        <f>image("https://img.pokemondb.net/sprites/home/shiny/gouging-fire.png")</f>
        <v/>
      </c>
      <c r="L110" s="77" t="s">
        <v>995</v>
      </c>
      <c r="M110" s="20" t="str">
        <f>image("https://img.pokemondb.net/sprites/home/shiny/raging-bolt.png")</f>
        <v/>
      </c>
      <c r="N110" s="77" t="s">
        <v>995</v>
      </c>
      <c r="O110" s="20" t="str">
        <f>image("https://img.pokemondb.net/sprites/home/shiny/iron-boulder.png")</f>
        <v/>
      </c>
      <c r="P110" s="77" t="s">
        <v>995</v>
      </c>
      <c r="Q110" s="20" t="str">
        <f>image("https://img.pokemondb.net/sprites/home/shiny/iron-crown.png")</f>
        <v/>
      </c>
      <c r="R110" s="33"/>
    </row>
    <row r="111" ht="26.25" customHeight="1">
      <c r="A111" s="15"/>
      <c r="B111" s="78"/>
      <c r="C111" s="36"/>
      <c r="D111" s="78"/>
      <c r="E111" s="36"/>
      <c r="F111" s="35" t="str">
        <f>image("https://i.imgur.com/XzidFHI.png")</f>
        <v/>
      </c>
      <c r="G111" s="36"/>
      <c r="H111" s="38" t="str">
        <f>image("https://i.imgur.com/EkqYYOB.png")</f>
        <v/>
      </c>
      <c r="I111" s="36"/>
      <c r="J111" s="78"/>
      <c r="K111" s="36"/>
      <c r="L111" s="78"/>
      <c r="M111" s="36"/>
      <c r="N111" s="78"/>
      <c r="O111" s="36"/>
      <c r="P111" s="78"/>
      <c r="Q111" s="36"/>
      <c r="R111" s="33"/>
    </row>
    <row r="112" ht="26.25" customHeight="1">
      <c r="A112" s="15"/>
      <c r="B112" s="79"/>
      <c r="C112" s="41"/>
      <c r="D112" s="79"/>
      <c r="E112" s="41"/>
      <c r="F112" s="40" t="str">
        <f>image("https://i.imgur.com/JDgAgAO.png")</f>
        <v/>
      </c>
      <c r="G112" s="41"/>
      <c r="H112" s="43" t="str">
        <f>image("https://i.imgur.com/VQL4lPa.png")</f>
        <v/>
      </c>
      <c r="I112" s="41"/>
      <c r="J112" s="79"/>
      <c r="K112" s="41"/>
      <c r="L112" s="79"/>
      <c r="M112" s="41"/>
      <c r="N112" s="79"/>
      <c r="O112" s="41"/>
      <c r="P112" s="79"/>
      <c r="Q112" s="41"/>
      <c r="R112" s="33"/>
    </row>
    <row r="113" ht="18.75" customHeight="1">
      <c r="A113" s="1"/>
      <c r="B113" s="8" t="s">
        <v>2254</v>
      </c>
      <c r="C113" s="10" t="s">
        <v>2255</v>
      </c>
      <c r="D113" s="8" t="s">
        <v>2256</v>
      </c>
      <c r="E113" s="10" t="s">
        <v>2257</v>
      </c>
      <c r="F113" s="126"/>
      <c r="G113" s="1"/>
      <c r="H113" s="2"/>
      <c r="I113" s="1"/>
      <c r="J113" s="2"/>
      <c r="K113" s="1"/>
      <c r="L113" s="2"/>
      <c r="M113" s="1"/>
      <c r="N113" s="2"/>
      <c r="O113" s="127"/>
      <c r="P113" s="2"/>
      <c r="Q113" s="127"/>
      <c r="R113" s="1"/>
    </row>
    <row r="114" ht="26.25" customHeight="1">
      <c r="A114" s="15"/>
      <c r="B114" s="16" t="str">
        <f>image("https://i.imgur.com/IIajvuS.png")</f>
        <v/>
      </c>
      <c r="C114" s="20" t="str">
        <f>image("https://pokejungle.net/sprites/normal/"&amp;B113&amp;".png")</f>
        <v/>
      </c>
      <c r="D114" s="16" t="str">
        <f>image("https://i.imgur.com/nNTmuH8.png")</f>
        <v/>
      </c>
      <c r="E114" s="20" t="str">
        <f>image("https://img.pokemondb.net/sprites/home/normal/pecharunt.png")</f>
        <v/>
      </c>
      <c r="F114" s="72"/>
      <c r="G114" s="116"/>
      <c r="H114" s="60"/>
      <c r="I114" s="116"/>
      <c r="J114" s="115"/>
      <c r="K114" s="116"/>
      <c r="L114" s="115"/>
      <c r="M114" s="116"/>
      <c r="N114" s="115"/>
      <c r="O114" s="116"/>
      <c r="P114" s="60"/>
      <c r="Q114" s="116"/>
      <c r="R114" s="33"/>
    </row>
    <row r="115" ht="26.25" customHeight="1">
      <c r="A115" s="15"/>
      <c r="B115" s="38" t="str">
        <f>image("https://i.imgur.com/ef1o2lD.png")</f>
        <v/>
      </c>
      <c r="C115" s="36"/>
      <c r="D115" s="35" t="str">
        <f>image("https://i.imgur.com/XI18XGu.png")</f>
        <v/>
      </c>
      <c r="E115" s="36"/>
      <c r="F115" s="72"/>
      <c r="G115" s="75"/>
      <c r="H115" s="115"/>
      <c r="I115" s="75"/>
      <c r="J115" s="115"/>
      <c r="K115" s="75"/>
      <c r="L115" s="128"/>
      <c r="M115" s="75"/>
      <c r="N115" s="128"/>
      <c r="O115" s="75"/>
      <c r="P115" s="60"/>
      <c r="Q115" s="75"/>
      <c r="R115" s="33"/>
    </row>
    <row r="116" ht="26.25" customHeight="1">
      <c r="A116" s="15"/>
      <c r="B116" s="43" t="str">
        <f>image("https://i.imgur.com/XNzvO0H.png")</f>
        <v/>
      </c>
      <c r="C116" s="41"/>
      <c r="D116" s="40" t="str">
        <f>image("https://i.imgur.com/N2Wqr43.png")</f>
        <v/>
      </c>
      <c r="E116" s="41"/>
      <c r="F116" s="72"/>
      <c r="G116" s="76"/>
      <c r="H116" s="60"/>
      <c r="I116" s="76"/>
      <c r="J116" s="60"/>
      <c r="K116" s="76"/>
      <c r="L116" s="60"/>
      <c r="M116" s="76"/>
      <c r="N116" s="60"/>
      <c r="O116" s="76"/>
      <c r="P116" s="60"/>
      <c r="Q116" s="76"/>
      <c r="R116" s="33"/>
    </row>
    <row r="117" ht="26.25" customHeight="1">
      <c r="A117" s="15"/>
      <c r="B117" s="77" t="s">
        <v>995</v>
      </c>
      <c r="C117" s="20" t="str">
        <f>image("https://img.pokemondb.net/sprites/home/shiny/terapagos.png")</f>
        <v/>
      </c>
      <c r="D117" s="77" t="s">
        <v>995</v>
      </c>
      <c r="E117" s="20" t="str">
        <f>image("https://img.pokemondb.net/sprites/home/shiny/pecharunt.png")</f>
        <v/>
      </c>
      <c r="F117" s="72"/>
      <c r="G117" s="116"/>
      <c r="H117" s="109"/>
      <c r="I117" s="116"/>
      <c r="J117" s="109"/>
      <c r="K117" s="116"/>
      <c r="L117" s="109"/>
      <c r="M117" s="116"/>
      <c r="N117" s="109"/>
      <c r="O117" s="116"/>
      <c r="P117" s="109"/>
      <c r="Q117" s="116"/>
      <c r="R117" s="33"/>
    </row>
    <row r="118" ht="26.25" customHeight="1">
      <c r="A118" s="15"/>
      <c r="B118" s="78"/>
      <c r="C118" s="36"/>
      <c r="D118" s="78"/>
      <c r="E118" s="36"/>
      <c r="F118" s="72"/>
      <c r="G118" s="75"/>
      <c r="H118" s="75"/>
      <c r="I118" s="75"/>
      <c r="J118" s="75"/>
      <c r="K118" s="75"/>
      <c r="L118" s="75"/>
      <c r="M118" s="75"/>
      <c r="N118" s="75"/>
      <c r="O118" s="75"/>
      <c r="P118" s="75"/>
      <c r="Q118" s="75"/>
      <c r="R118" s="33"/>
    </row>
    <row r="119" ht="26.25" customHeight="1">
      <c r="A119" s="15"/>
      <c r="B119" s="79"/>
      <c r="C119" s="41"/>
      <c r="D119" s="79"/>
      <c r="E119" s="41"/>
      <c r="F119" s="72"/>
      <c r="G119" s="76"/>
      <c r="H119" s="76"/>
      <c r="I119" s="76"/>
      <c r="J119" s="76"/>
      <c r="K119" s="76"/>
      <c r="L119" s="76"/>
      <c r="M119" s="76"/>
      <c r="N119" s="76"/>
      <c r="O119" s="76"/>
      <c r="P119" s="76"/>
      <c r="Q119" s="76"/>
      <c r="R119" s="33"/>
    </row>
    <row r="120" ht="18.75" customHeight="1">
      <c r="A120" s="129"/>
      <c r="B120" s="2"/>
      <c r="C120" s="1"/>
      <c r="D120" s="2"/>
      <c r="E120" s="1"/>
      <c r="F120" s="2"/>
      <c r="G120" s="1"/>
      <c r="H120" s="2"/>
      <c r="I120" s="1"/>
      <c r="J120" s="2"/>
      <c r="K120" s="1"/>
      <c r="L120" s="2"/>
      <c r="M120" s="1"/>
      <c r="N120" s="2"/>
      <c r="O120" s="1"/>
      <c r="P120" s="2"/>
      <c r="Q120" s="1"/>
      <c r="R120" s="129"/>
    </row>
  </sheetData>
  <mergeCells count="292">
    <mergeCell ref="I19:I21"/>
    <mergeCell ref="I23:I25"/>
    <mergeCell ref="I30:I32"/>
    <mergeCell ref="I33:I35"/>
    <mergeCell ref="I37:I39"/>
    <mergeCell ref="I40:I42"/>
    <mergeCell ref="I44:I46"/>
    <mergeCell ref="I79:I81"/>
    <mergeCell ref="I82:I84"/>
    <mergeCell ref="I86:I88"/>
    <mergeCell ref="I89:I91"/>
    <mergeCell ref="I93:I95"/>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40:O42"/>
    <mergeCell ref="O44:O46"/>
    <mergeCell ref="O47:O49"/>
    <mergeCell ref="O51:O53"/>
    <mergeCell ref="O54:O56"/>
    <mergeCell ref="O58:O60"/>
    <mergeCell ref="O61:O63"/>
    <mergeCell ref="I72:I74"/>
    <mergeCell ref="I75:I77"/>
    <mergeCell ref="M72:M74"/>
    <mergeCell ref="M75:M77"/>
    <mergeCell ref="M79:M81"/>
    <mergeCell ref="M82:M84"/>
    <mergeCell ref="M86:M88"/>
    <mergeCell ref="M89:M91"/>
    <mergeCell ref="M93:M95"/>
    <mergeCell ref="M58:M60"/>
    <mergeCell ref="M61:M63"/>
    <mergeCell ref="M65:M67"/>
    <mergeCell ref="K68:K70"/>
    <mergeCell ref="M68:M70"/>
    <mergeCell ref="K72:K74"/>
    <mergeCell ref="K75:K77"/>
    <mergeCell ref="C86:C88"/>
    <mergeCell ref="C89:C91"/>
    <mergeCell ref="C93:C95"/>
    <mergeCell ref="C96:C98"/>
    <mergeCell ref="C100:C102"/>
    <mergeCell ref="G100:G102"/>
    <mergeCell ref="G103:G105"/>
    <mergeCell ref="E110:E112"/>
    <mergeCell ref="E114:E116"/>
    <mergeCell ref="E117:E119"/>
    <mergeCell ref="B110:B112"/>
    <mergeCell ref="B117:B119"/>
    <mergeCell ref="C117:C119"/>
    <mergeCell ref="D117:D119"/>
    <mergeCell ref="E100:E102"/>
    <mergeCell ref="E103:E105"/>
    <mergeCell ref="C110:C112"/>
    <mergeCell ref="D110:D112"/>
    <mergeCell ref="G110:G112"/>
    <mergeCell ref="C114:C116"/>
    <mergeCell ref="G114:G116"/>
    <mergeCell ref="G117:G119"/>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C61:C63"/>
    <mergeCell ref="C65:C67"/>
    <mergeCell ref="C68:C70"/>
    <mergeCell ref="C72:C74"/>
    <mergeCell ref="C75:C77"/>
    <mergeCell ref="C79:C81"/>
    <mergeCell ref="C82:C84"/>
    <mergeCell ref="C103:C105"/>
    <mergeCell ref="C107:C109"/>
    <mergeCell ref="E107:E109"/>
    <mergeCell ref="G107:G109"/>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54:Q56"/>
    <mergeCell ref="Q58:Q60"/>
    <mergeCell ref="Q61:Q63"/>
    <mergeCell ref="Q65:Q67"/>
    <mergeCell ref="Q68:Q70"/>
    <mergeCell ref="Q72:Q74"/>
    <mergeCell ref="Q75:Q77"/>
    <mergeCell ref="Q103:Q105"/>
    <mergeCell ref="Q107:Q109"/>
    <mergeCell ref="Q110:Q112"/>
    <mergeCell ref="Q114:Q116"/>
    <mergeCell ref="Q117:Q119"/>
    <mergeCell ref="Q79:Q81"/>
    <mergeCell ref="Q82:Q84"/>
    <mergeCell ref="Q86:Q88"/>
    <mergeCell ref="Q89:Q91"/>
    <mergeCell ref="Q93:Q95"/>
    <mergeCell ref="Q96:Q98"/>
    <mergeCell ref="Q100:Q102"/>
    <mergeCell ref="K37:K39"/>
    <mergeCell ref="K40:K42"/>
    <mergeCell ref="K44:K46"/>
    <mergeCell ref="K47:K49"/>
    <mergeCell ref="K51:K53"/>
    <mergeCell ref="K54:K56"/>
    <mergeCell ref="K58:K60"/>
    <mergeCell ref="K96:K98"/>
    <mergeCell ref="K100:K102"/>
    <mergeCell ref="K103:K105"/>
    <mergeCell ref="K107:K109"/>
    <mergeCell ref="K110:K112"/>
    <mergeCell ref="K114:K116"/>
    <mergeCell ref="K117:K119"/>
    <mergeCell ref="K61:K63"/>
    <mergeCell ref="K65:K67"/>
    <mergeCell ref="K79:K81"/>
    <mergeCell ref="K82:K84"/>
    <mergeCell ref="K86:K88"/>
    <mergeCell ref="K89:K91"/>
    <mergeCell ref="K93:K95"/>
    <mergeCell ref="G65:G67"/>
    <mergeCell ref="G68:G70"/>
    <mergeCell ref="G40:G42"/>
    <mergeCell ref="G44:G46"/>
    <mergeCell ref="G47:G49"/>
    <mergeCell ref="G51:G53"/>
    <mergeCell ref="G54:G56"/>
    <mergeCell ref="G58:G60"/>
    <mergeCell ref="G61:G63"/>
    <mergeCell ref="E75:E77"/>
    <mergeCell ref="E79:E81"/>
    <mergeCell ref="E82:E84"/>
    <mergeCell ref="E58:E60"/>
    <mergeCell ref="E61:E63"/>
    <mergeCell ref="E65:E67"/>
    <mergeCell ref="E68:E70"/>
    <mergeCell ref="E72:E74"/>
    <mergeCell ref="G72:G74"/>
    <mergeCell ref="G75:G77"/>
    <mergeCell ref="O65:O67"/>
    <mergeCell ref="O68:O70"/>
    <mergeCell ref="O72:O74"/>
    <mergeCell ref="O75:O77"/>
    <mergeCell ref="O79:O81"/>
    <mergeCell ref="O82:O84"/>
    <mergeCell ref="O86:O88"/>
    <mergeCell ref="O89:O91"/>
    <mergeCell ref="O93:O95"/>
    <mergeCell ref="M96:M98"/>
    <mergeCell ref="N96:N98"/>
    <mergeCell ref="O96:O98"/>
    <mergeCell ref="P96:P98"/>
    <mergeCell ref="O100:O102"/>
    <mergeCell ref="M100:M102"/>
    <mergeCell ref="M103:M105"/>
    <mergeCell ref="N103:N105"/>
    <mergeCell ref="O103:O105"/>
    <mergeCell ref="P103:P105"/>
    <mergeCell ref="M107:M109"/>
    <mergeCell ref="O107:O109"/>
    <mergeCell ref="L110:L112"/>
    <mergeCell ref="L117:L119"/>
    <mergeCell ref="M117:M119"/>
    <mergeCell ref="N117:N119"/>
    <mergeCell ref="O117:O119"/>
    <mergeCell ref="P117:P119"/>
    <mergeCell ref="L103:L105"/>
    <mergeCell ref="M110:M112"/>
    <mergeCell ref="N110:N112"/>
    <mergeCell ref="O110:O112"/>
    <mergeCell ref="P110:P112"/>
    <mergeCell ref="M114:M116"/>
    <mergeCell ref="O114:O116"/>
    <mergeCell ref="G79:G81"/>
    <mergeCell ref="G82:G84"/>
    <mergeCell ref="E86:E88"/>
    <mergeCell ref="G86:G88"/>
    <mergeCell ref="E89:E91"/>
    <mergeCell ref="G89:G91"/>
    <mergeCell ref="G93:G95"/>
    <mergeCell ref="G96:G98"/>
    <mergeCell ref="I107:I109"/>
    <mergeCell ref="I110:I112"/>
    <mergeCell ref="J110:J112"/>
    <mergeCell ref="I114:I116"/>
    <mergeCell ref="H117:H119"/>
    <mergeCell ref="I117:I119"/>
    <mergeCell ref="J117:J119"/>
    <mergeCell ref="E93:E95"/>
    <mergeCell ref="E96:E98"/>
    <mergeCell ref="I96:I98"/>
    <mergeCell ref="I100:I102"/>
    <mergeCell ref="H103:H105"/>
    <mergeCell ref="I103:I105"/>
    <mergeCell ref="J103:J10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3.0"/>
    <col hidden="1" min="17" max="26" width="14.43"/>
  </cols>
  <sheetData>
    <row r="1" ht="18.75" customHeight="1">
      <c r="A1" s="117"/>
      <c r="B1" s="118" t="s">
        <v>1971</v>
      </c>
      <c r="C1" s="119"/>
      <c r="D1" s="119"/>
      <c r="E1" s="119"/>
      <c r="F1" s="119"/>
      <c r="G1" s="119"/>
      <c r="H1" s="119"/>
      <c r="I1" s="119"/>
      <c r="J1" s="119"/>
      <c r="K1" s="119"/>
      <c r="L1" s="119"/>
      <c r="M1" s="119"/>
      <c r="N1" s="119"/>
      <c r="O1" s="119"/>
      <c r="P1" s="117"/>
    </row>
    <row r="2" ht="18.75" customHeight="1">
      <c r="A2" s="6"/>
      <c r="B2" s="8" t="s">
        <v>1972</v>
      </c>
      <c r="C2" s="82"/>
      <c r="D2" s="8" t="s">
        <v>1973</v>
      </c>
      <c r="E2" s="82"/>
      <c r="F2" s="8" t="s">
        <v>1974</v>
      </c>
      <c r="G2" s="82"/>
      <c r="H2" s="8" t="s">
        <v>1975</v>
      </c>
      <c r="I2" s="82"/>
      <c r="J2" s="8" t="s">
        <v>1976</v>
      </c>
      <c r="K2" s="82"/>
      <c r="L2" s="8" t="s">
        <v>1977</v>
      </c>
      <c r="M2" s="82"/>
      <c r="N2" s="8" t="s">
        <v>1978</v>
      </c>
      <c r="O2" s="82"/>
      <c r="P2" s="120"/>
      <c r="Q2" s="10"/>
      <c r="R2" s="14"/>
    </row>
    <row r="3" ht="26.25" customHeight="1">
      <c r="A3" s="15"/>
      <c r="B3" s="16" t="str">
        <f>image("https://i.imgur.com/N2Wqr43.png")</f>
        <v/>
      </c>
      <c r="C3" s="20" t="str">
        <f>image("https://pokejungle.net/sprites/normal/0666-9.png")</f>
        <v/>
      </c>
      <c r="D3" s="16" t="str">
        <f>image("https://i.imgur.com/RqSOGo6.png")</f>
        <v/>
      </c>
      <c r="E3" s="20" t="str">
        <f>image("https://pokejungle.net/sprites/normal/0666-3.png")</f>
        <v/>
      </c>
      <c r="F3" s="16" t="str">
        <f>image("https://i.imgur.com/XI18XGu.png")</f>
        <v/>
      </c>
      <c r="G3" s="20" t="str">
        <f>image("https://pokejungle.net/sprites/normal/0666-5.png")</f>
        <v/>
      </c>
      <c r="H3" s="24" t="str">
        <f>image("https://i.imgur.com/VQL4lPa.png")</f>
        <v/>
      </c>
      <c r="I3" s="20" t="str">
        <f>image("https://pokejungle.net/sprites/normal/0666-4.png")</f>
        <v/>
      </c>
      <c r="J3" s="16" t="str">
        <f>image("https://i.imgur.com/XIu6jDl.png")</f>
        <v/>
      </c>
      <c r="K3" s="20" t="str">
        <f>image("https://pokejungle.net/sprites/normal/0666-10.png")</f>
        <v/>
      </c>
      <c r="L3" s="28" t="str">
        <f>image("https://i.imgur.com/0ArMZjJ.png")</f>
        <v/>
      </c>
      <c r="M3" s="20" t="str">
        <f>image("https://pokejungle.net/sprites/normal/0666.png")</f>
        <v/>
      </c>
      <c r="N3" s="16" t="str">
        <f>image("https://i.imgur.com/lpOVjtL.png")</f>
        <v/>
      </c>
      <c r="O3" s="20" t="str">
        <f>image("https://pokejungle.net/sprites/normal/0666-17.png")</f>
        <v/>
      </c>
      <c r="P3" s="121"/>
      <c r="Q3" s="42"/>
      <c r="R3" s="33"/>
    </row>
    <row r="4" ht="26.25" customHeight="1">
      <c r="A4" s="15"/>
      <c r="B4" s="38"/>
      <c r="C4" s="36"/>
      <c r="D4" s="35"/>
      <c r="E4" s="36"/>
      <c r="F4" s="35"/>
      <c r="G4" s="36"/>
      <c r="H4" s="37"/>
      <c r="I4" s="36"/>
      <c r="J4" s="38"/>
      <c r="K4" s="36"/>
      <c r="L4" s="35"/>
      <c r="M4" s="36"/>
      <c r="N4" s="38"/>
      <c r="O4" s="36"/>
      <c r="P4" s="33"/>
      <c r="Q4" s="36"/>
      <c r="R4" s="33"/>
    </row>
    <row r="5" ht="26.25" customHeight="1">
      <c r="A5" s="15"/>
      <c r="B5" s="40"/>
      <c r="C5" s="41"/>
      <c r="D5" s="40"/>
      <c r="E5" s="41"/>
      <c r="F5" s="40"/>
      <c r="G5" s="41"/>
      <c r="H5" s="40"/>
      <c r="I5" s="41"/>
      <c r="J5" s="40"/>
      <c r="K5" s="41"/>
      <c r="L5" s="43"/>
      <c r="M5" s="41"/>
      <c r="N5" s="40"/>
      <c r="O5" s="41"/>
      <c r="P5" s="33"/>
      <c r="Q5" s="41"/>
      <c r="R5" s="33"/>
    </row>
    <row r="6" ht="18.75" customHeight="1">
      <c r="A6" s="6"/>
      <c r="B6" s="8" t="s">
        <v>1979</v>
      </c>
      <c r="C6" s="82"/>
      <c r="D6" s="8" t="s">
        <v>1980</v>
      </c>
      <c r="E6" s="82"/>
      <c r="F6" s="8" t="s">
        <v>1982</v>
      </c>
      <c r="G6" s="82"/>
      <c r="H6" s="8" t="s">
        <v>1984</v>
      </c>
      <c r="I6" s="82"/>
      <c r="J6" s="8" t="s">
        <v>1987</v>
      </c>
      <c r="K6" s="82"/>
      <c r="L6" s="8" t="s">
        <v>1990</v>
      </c>
      <c r="M6" s="82"/>
      <c r="N6" s="8" t="s">
        <v>1993</v>
      </c>
      <c r="O6" s="82"/>
      <c r="P6" s="120"/>
      <c r="Q6" s="10"/>
      <c r="R6" s="14"/>
    </row>
    <row r="7" ht="26.25" customHeight="1">
      <c r="A7" s="15"/>
      <c r="B7" s="16" t="str">
        <f>image("https://i.imgur.com/XzidFHI.png")</f>
        <v/>
      </c>
      <c r="C7" s="20" t="str">
        <f>image("https://pokejungle.net/sprites/normal/0666-8.png")</f>
        <v/>
      </c>
      <c r="D7" s="16" t="str">
        <f>image("https://i.imgur.com/a9HBljD.png")</f>
        <v/>
      </c>
      <c r="E7" s="20" t="str">
        <f>image("https://pokejungle.net/sprites/normal/0666-6.png")</f>
        <v/>
      </c>
      <c r="F7" s="16" t="str">
        <f>image("https://i.imgur.com/ef1o2lD.png")</f>
        <v/>
      </c>
      <c r="G7" s="20" t="str">
        <f>image("https://pokejungle.net/sprites/normal/0666-7.png")</f>
        <v/>
      </c>
      <c r="H7" s="24" t="str">
        <f>image("https://i.imgur.com/NkILW1J.png")</f>
        <v/>
      </c>
      <c r="I7" s="20" t="str">
        <f>image("https://pokejungle.net/sprites/normal/0666-13.png")</f>
        <v/>
      </c>
      <c r="J7" s="16" t="str">
        <f>image("https://i.imgur.com/rJhTvoD.png")</f>
        <v/>
      </c>
      <c r="K7" s="20" t="str">
        <f>image("https://pokejungle.net/sprites/normal/0666-16.png")</f>
        <v/>
      </c>
      <c r="L7" s="28" t="str">
        <f>image("https://i.imgur.com/SF5CZ6U.png")</f>
        <v/>
      </c>
      <c r="M7" s="20" t="str">
        <f>image("https://pokejungle.net/sprites/normal/0666-1.png")</f>
        <v/>
      </c>
      <c r="N7" s="16" t="str">
        <f>image("https://i.imgur.com/JDgAgAO.png")</f>
        <v/>
      </c>
      <c r="O7" s="20" t="str">
        <f>image("https://pokejungle.net/sprites/normal/0666-12.png")</f>
        <v/>
      </c>
      <c r="P7" s="121"/>
      <c r="Q7" s="42"/>
      <c r="R7" s="33"/>
    </row>
    <row r="8" ht="26.25" customHeight="1">
      <c r="A8" s="15"/>
      <c r="B8" s="38"/>
      <c r="C8" s="36"/>
      <c r="D8" s="35"/>
      <c r="E8" s="36"/>
      <c r="F8" s="35"/>
      <c r="G8" s="36"/>
      <c r="H8" s="37"/>
      <c r="I8" s="36"/>
      <c r="J8" s="38"/>
      <c r="K8" s="36"/>
      <c r="L8" s="35"/>
      <c r="M8" s="36"/>
      <c r="N8" s="38"/>
      <c r="O8" s="36"/>
      <c r="P8" s="33"/>
      <c r="Q8" s="36"/>
      <c r="R8" s="33"/>
    </row>
    <row r="9" ht="26.25" customHeight="1">
      <c r="A9" s="15"/>
      <c r="B9" s="40"/>
      <c r="C9" s="41"/>
      <c r="D9" s="40"/>
      <c r="E9" s="41"/>
      <c r="F9" s="40"/>
      <c r="G9" s="41"/>
      <c r="H9" s="40"/>
      <c r="I9" s="41"/>
      <c r="J9" s="40"/>
      <c r="K9" s="41"/>
      <c r="L9" s="43"/>
      <c r="M9" s="41"/>
      <c r="N9" s="40"/>
      <c r="O9" s="41"/>
      <c r="P9" s="33"/>
      <c r="Q9" s="41"/>
      <c r="R9" s="33"/>
    </row>
    <row r="10" ht="18.75" customHeight="1">
      <c r="A10" s="6"/>
      <c r="B10" s="8" t="s">
        <v>2027</v>
      </c>
      <c r="C10" s="82"/>
      <c r="D10" s="8" t="s">
        <v>2029</v>
      </c>
      <c r="E10" s="82"/>
      <c r="F10" s="8" t="s">
        <v>2030</v>
      </c>
      <c r="G10" s="82"/>
      <c r="H10" s="8" t="s">
        <v>2032</v>
      </c>
      <c r="I10" s="82"/>
      <c r="J10" s="8" t="s">
        <v>103</v>
      </c>
      <c r="K10" s="82"/>
      <c r="L10" s="8" t="s">
        <v>2033</v>
      </c>
      <c r="M10" s="82"/>
      <c r="N10" s="8" t="s">
        <v>2034</v>
      </c>
      <c r="O10" s="82"/>
      <c r="P10" s="120"/>
      <c r="Q10" s="10"/>
      <c r="R10" s="14"/>
    </row>
    <row r="11" ht="26.25" customHeight="1">
      <c r="A11" s="15"/>
      <c r="B11" s="16" t="str">
        <f>image("https://i.imgur.com/beHgI95.png")</f>
        <v/>
      </c>
      <c r="C11" s="20" t="str">
        <f>image("https://pokejungle.net/sprites/normal/0666-11.png")</f>
        <v/>
      </c>
      <c r="D11" s="16" t="str">
        <f>image("https://i.imgur.com/zpybKax.png")</f>
        <v/>
      </c>
      <c r="E11" s="20" t="str">
        <f>image("https://pokejungle.net/sprites/normal/0666-14.png")</f>
        <v/>
      </c>
      <c r="F11" s="16" t="str">
        <f>image("https://i.imgur.com/lKAfx6k.png")</f>
        <v/>
      </c>
      <c r="G11" s="20" t="str">
        <f>image("https://pokejungle.net/sprites/normal/0666-15.png")</f>
        <v/>
      </c>
      <c r="H11" s="24" t="str">
        <f>image("https://i.imgur.com/XNzvO0H.png")</f>
        <v/>
      </c>
      <c r="I11" s="20" t="str">
        <f>image("https://pokejungle.net/sprites/normal/0666-2.png")</f>
        <v/>
      </c>
      <c r="J11" s="16" t="str">
        <f>image("https://i.imgur.com/bxys1sd.png")</f>
        <v/>
      </c>
      <c r="K11" s="20" t="str">
        <f>image("https://pokejungle.net/sprites/normal/0666-19.png")</f>
        <v/>
      </c>
      <c r="L11" s="28" t="str">
        <f>image("https://i.imgur.com/rAI9Gyi.png")</f>
        <v/>
      </c>
      <c r="M11" s="20" t="str">
        <f>image("https://pokejungle.net/sprites/normal/0666-18.png")</f>
        <v/>
      </c>
      <c r="N11" s="122" t="s">
        <v>2035</v>
      </c>
      <c r="O11" s="20" t="str">
        <f>image("https://pokejungle.net/sprites/shiny/0666-18.png")</f>
        <v/>
      </c>
      <c r="P11" s="121"/>
    </row>
    <row r="12" ht="26.25" customHeight="1">
      <c r="A12" s="15"/>
      <c r="B12" s="38"/>
      <c r="C12" s="36"/>
      <c r="D12" s="35"/>
      <c r="E12" s="36"/>
      <c r="F12" s="35"/>
      <c r="G12" s="36"/>
      <c r="H12" s="37"/>
      <c r="I12" s="36"/>
      <c r="J12" s="38" t="str">
        <f>image("https://i.imgur.com/aeqHLEh.png")</f>
        <v/>
      </c>
      <c r="K12" s="36"/>
      <c r="L12" s="35" t="str">
        <f>image("https://i.imgur.com/JOd7Boe.png")</f>
        <v/>
      </c>
      <c r="M12" s="36"/>
      <c r="N12" s="78"/>
      <c r="O12" s="36"/>
      <c r="P12" s="33"/>
    </row>
    <row r="13" ht="26.25" customHeight="1">
      <c r="A13" s="15"/>
      <c r="B13" s="40"/>
      <c r="C13" s="41"/>
      <c r="D13" s="40"/>
      <c r="E13" s="41"/>
      <c r="F13" s="40"/>
      <c r="G13" s="41"/>
      <c r="H13" s="40"/>
      <c r="I13" s="41"/>
      <c r="J13" s="40"/>
      <c r="K13" s="41"/>
      <c r="L13" s="43" t="str">
        <f>image("https://i.imgur.com/aeqHLEh.png")</f>
        <v/>
      </c>
      <c r="M13" s="41"/>
      <c r="N13" s="79"/>
      <c r="O13" s="41"/>
      <c r="P13" s="33"/>
    </row>
    <row r="14" ht="18.75" customHeight="1">
      <c r="A14" s="1"/>
      <c r="B14" s="2"/>
      <c r="C14" s="1"/>
      <c r="D14" s="2"/>
      <c r="E14" s="1"/>
      <c r="F14" s="2"/>
      <c r="G14" s="1"/>
      <c r="H14" s="2"/>
      <c r="I14" s="1"/>
      <c r="J14" s="2"/>
      <c r="K14" s="1"/>
      <c r="L14" s="2"/>
      <c r="M14" s="1"/>
      <c r="N14" s="2"/>
      <c r="O14" s="1"/>
      <c r="P14" s="1"/>
    </row>
    <row r="15" ht="15.75" hidden="1" customHeight="1">
      <c r="B15" s="123"/>
      <c r="D15" s="123"/>
      <c r="F15" s="123"/>
      <c r="H15" s="123"/>
      <c r="J15" s="123"/>
      <c r="L15" s="123"/>
      <c r="N15" s="123"/>
    </row>
    <row r="16" ht="15.75" hidden="1" customHeight="1">
      <c r="B16" s="123"/>
      <c r="D16" s="123"/>
      <c r="F16" s="123"/>
      <c r="H16" s="123"/>
      <c r="J16" s="123"/>
      <c r="L16" s="123"/>
      <c r="N16" s="123"/>
    </row>
    <row r="17" ht="15.75" hidden="1" customHeight="1">
      <c r="B17" s="123"/>
      <c r="D17" s="123"/>
      <c r="F17" s="123"/>
      <c r="H17" s="123"/>
      <c r="J17" s="123"/>
      <c r="L17" s="123"/>
      <c r="N17" s="123"/>
    </row>
    <row r="18" ht="15.75" hidden="1" customHeight="1">
      <c r="B18" s="123"/>
      <c r="D18" s="123"/>
      <c r="F18" s="123"/>
      <c r="H18" s="123"/>
      <c r="J18" s="123"/>
      <c r="L18" s="123"/>
      <c r="N18" s="123"/>
    </row>
    <row r="19" ht="15.75" hidden="1" customHeight="1">
      <c r="B19" s="123"/>
      <c r="D19" s="123"/>
      <c r="F19" s="123"/>
      <c r="H19" s="123"/>
      <c r="J19" s="123"/>
      <c r="L19" s="123"/>
      <c r="N19" s="123"/>
    </row>
    <row r="20" ht="15.75" hidden="1" customHeight="1">
      <c r="B20" s="123"/>
      <c r="D20" s="123"/>
      <c r="F20" s="123"/>
      <c r="H20" s="123"/>
      <c r="J20" s="123"/>
      <c r="L20" s="123"/>
      <c r="N20" s="123"/>
    </row>
    <row r="21" ht="15.75" hidden="1" customHeight="1">
      <c r="B21" s="123"/>
      <c r="D21" s="123"/>
      <c r="F21" s="123"/>
      <c r="H21" s="123"/>
      <c r="J21" s="123"/>
      <c r="L21" s="123"/>
      <c r="N21" s="123"/>
    </row>
    <row r="22" ht="15.75" hidden="1" customHeight="1">
      <c r="B22" s="123"/>
      <c r="D22" s="123"/>
      <c r="F22" s="123"/>
      <c r="H22" s="123"/>
      <c r="J22" s="123"/>
      <c r="L22" s="123"/>
      <c r="N22" s="123"/>
    </row>
    <row r="23" ht="15.75" hidden="1" customHeight="1">
      <c r="B23" s="123"/>
      <c r="D23" s="123"/>
      <c r="F23" s="123"/>
      <c r="H23" s="123"/>
      <c r="J23" s="123"/>
      <c r="L23" s="123"/>
      <c r="N23" s="123"/>
    </row>
    <row r="24" ht="15.75" hidden="1" customHeight="1">
      <c r="B24" s="123"/>
      <c r="D24" s="123"/>
      <c r="F24" s="123"/>
      <c r="H24" s="123"/>
      <c r="J24" s="123"/>
      <c r="L24" s="123"/>
      <c r="N24" s="123"/>
    </row>
    <row r="25" ht="15.75" hidden="1" customHeight="1">
      <c r="B25" s="123"/>
      <c r="D25" s="123"/>
      <c r="F25" s="123"/>
      <c r="H25" s="123"/>
      <c r="J25" s="123"/>
      <c r="L25" s="123"/>
      <c r="N25" s="123"/>
    </row>
    <row r="26" ht="15.75" hidden="1" customHeight="1">
      <c r="B26" s="123"/>
      <c r="D26" s="123"/>
      <c r="F26" s="123"/>
      <c r="H26" s="123"/>
      <c r="J26" s="123"/>
      <c r="L26" s="123"/>
      <c r="N26" s="123"/>
    </row>
    <row r="27" ht="15.75" hidden="1" customHeight="1">
      <c r="B27" s="123"/>
      <c r="D27" s="123"/>
      <c r="F27" s="123"/>
      <c r="H27" s="123"/>
      <c r="J27" s="123"/>
      <c r="L27" s="123"/>
      <c r="N27" s="123"/>
    </row>
    <row r="28" ht="15.75" hidden="1" customHeight="1">
      <c r="B28" s="123"/>
      <c r="D28" s="123"/>
      <c r="F28" s="123"/>
      <c r="H28" s="123"/>
      <c r="J28" s="123"/>
      <c r="L28" s="123"/>
      <c r="N28" s="123"/>
    </row>
    <row r="29" ht="15.75" hidden="1" customHeight="1">
      <c r="B29" s="123"/>
      <c r="D29" s="123"/>
      <c r="F29" s="123"/>
      <c r="H29" s="123"/>
      <c r="J29" s="123"/>
      <c r="L29" s="123"/>
      <c r="N29" s="123"/>
    </row>
    <row r="30" ht="15.75" hidden="1" customHeight="1">
      <c r="B30" s="123"/>
      <c r="D30" s="123"/>
      <c r="F30" s="123"/>
      <c r="H30" s="123"/>
      <c r="J30" s="123"/>
      <c r="L30" s="123"/>
      <c r="N30" s="123"/>
    </row>
    <row r="31" ht="15.75" hidden="1" customHeight="1">
      <c r="B31" s="123"/>
      <c r="D31" s="123"/>
      <c r="F31" s="123"/>
      <c r="H31" s="123"/>
      <c r="J31" s="123"/>
      <c r="L31" s="123"/>
      <c r="N31" s="123"/>
    </row>
    <row r="32" ht="15.75" hidden="1" customHeight="1">
      <c r="B32" s="123"/>
      <c r="D32" s="123"/>
      <c r="F32" s="123"/>
      <c r="H32" s="123"/>
      <c r="J32" s="123"/>
      <c r="L32" s="123"/>
      <c r="N32" s="123"/>
    </row>
    <row r="33" ht="15.75" hidden="1" customHeight="1">
      <c r="B33" s="123"/>
      <c r="D33" s="123"/>
      <c r="F33" s="123"/>
      <c r="H33" s="123"/>
      <c r="J33" s="123"/>
      <c r="L33" s="123"/>
      <c r="N33" s="123"/>
    </row>
    <row r="34" ht="15.75" hidden="1" customHeight="1">
      <c r="B34" s="123"/>
      <c r="D34" s="123"/>
      <c r="F34" s="123"/>
      <c r="H34" s="123"/>
      <c r="J34" s="123"/>
      <c r="L34" s="123"/>
      <c r="N34" s="123"/>
    </row>
    <row r="35" ht="15.75" hidden="1" customHeight="1">
      <c r="B35" s="123"/>
      <c r="D35" s="123"/>
      <c r="F35" s="123"/>
      <c r="H35" s="123"/>
      <c r="J35" s="123"/>
      <c r="L35" s="123"/>
      <c r="N35" s="123"/>
    </row>
    <row r="36" ht="15.75" hidden="1" customHeight="1">
      <c r="B36" s="123"/>
      <c r="D36" s="123"/>
      <c r="F36" s="123"/>
      <c r="H36" s="123"/>
      <c r="J36" s="123"/>
      <c r="L36" s="123"/>
      <c r="N36" s="123"/>
    </row>
    <row r="37" ht="15.75" hidden="1" customHeight="1">
      <c r="B37" s="123"/>
      <c r="D37" s="123"/>
      <c r="F37" s="123"/>
      <c r="H37" s="123"/>
      <c r="J37" s="123"/>
      <c r="L37" s="123"/>
      <c r="N37" s="123"/>
    </row>
    <row r="38" ht="15.75" hidden="1" customHeight="1">
      <c r="B38" s="123"/>
      <c r="D38" s="123"/>
      <c r="F38" s="123"/>
      <c r="H38" s="123"/>
      <c r="J38" s="123"/>
      <c r="L38" s="123"/>
      <c r="N38" s="123"/>
    </row>
    <row r="39" ht="15.75" hidden="1" customHeight="1">
      <c r="B39" s="123"/>
      <c r="D39" s="123"/>
      <c r="F39" s="123"/>
      <c r="H39" s="123"/>
      <c r="J39" s="123"/>
      <c r="L39" s="123"/>
      <c r="N39" s="123"/>
    </row>
    <row r="40" ht="15.75" hidden="1" customHeight="1">
      <c r="B40" s="123"/>
      <c r="D40" s="123"/>
      <c r="F40" s="123"/>
      <c r="H40" s="123"/>
      <c r="J40" s="123"/>
      <c r="L40" s="123"/>
      <c r="N40" s="123"/>
    </row>
    <row r="41" ht="15.75" hidden="1" customHeight="1">
      <c r="B41" s="123"/>
      <c r="D41" s="123"/>
      <c r="F41" s="123"/>
      <c r="H41" s="123"/>
      <c r="J41" s="123"/>
      <c r="L41" s="123"/>
      <c r="N41" s="123"/>
    </row>
    <row r="42" ht="15.75" hidden="1" customHeight="1">
      <c r="B42" s="123"/>
      <c r="D42" s="123"/>
      <c r="F42" s="123"/>
      <c r="H42" s="123"/>
      <c r="J42" s="123"/>
      <c r="L42" s="123"/>
      <c r="N42" s="123"/>
    </row>
    <row r="43" ht="15.75" hidden="1" customHeight="1">
      <c r="B43" s="123"/>
      <c r="D43" s="123"/>
      <c r="F43" s="123"/>
      <c r="H43" s="123"/>
      <c r="J43" s="123"/>
      <c r="L43" s="123"/>
      <c r="N43" s="123"/>
    </row>
    <row r="44" ht="15.75" hidden="1" customHeight="1">
      <c r="B44" s="123"/>
      <c r="D44" s="123"/>
      <c r="F44" s="123"/>
      <c r="H44" s="123"/>
      <c r="J44" s="123"/>
      <c r="L44" s="123"/>
      <c r="N44" s="123"/>
    </row>
    <row r="45" ht="15.75" hidden="1" customHeight="1">
      <c r="B45" s="123"/>
      <c r="D45" s="123"/>
      <c r="F45" s="123"/>
      <c r="H45" s="123"/>
      <c r="J45" s="123"/>
      <c r="L45" s="123"/>
      <c r="N45" s="123"/>
    </row>
    <row r="46" ht="15.75" hidden="1" customHeight="1">
      <c r="B46" s="123"/>
      <c r="D46" s="123"/>
      <c r="F46" s="123"/>
      <c r="H46" s="123"/>
      <c r="J46" s="123"/>
      <c r="L46" s="123"/>
      <c r="N46" s="123"/>
    </row>
    <row r="47" ht="15.75" hidden="1" customHeight="1">
      <c r="B47" s="123"/>
      <c r="D47" s="123"/>
      <c r="F47" s="123"/>
      <c r="H47" s="123"/>
      <c r="J47" s="123"/>
      <c r="L47" s="123"/>
      <c r="N47" s="123"/>
    </row>
    <row r="48" ht="15.75" hidden="1" customHeight="1">
      <c r="B48" s="123"/>
      <c r="D48" s="123"/>
      <c r="F48" s="123"/>
      <c r="H48" s="123"/>
      <c r="J48" s="123"/>
      <c r="L48" s="123"/>
      <c r="N48" s="123"/>
    </row>
    <row r="49" ht="15.75" hidden="1" customHeight="1">
      <c r="B49" s="123"/>
      <c r="D49" s="123"/>
      <c r="F49" s="123"/>
      <c r="H49" s="123"/>
      <c r="J49" s="123"/>
      <c r="L49" s="123"/>
      <c r="N49" s="123"/>
    </row>
    <row r="50" ht="15.75" hidden="1" customHeight="1">
      <c r="B50" s="123"/>
      <c r="D50" s="123"/>
      <c r="F50" s="123"/>
      <c r="H50" s="123"/>
      <c r="J50" s="123"/>
      <c r="L50" s="123"/>
      <c r="N50" s="123"/>
    </row>
    <row r="51" ht="15.75" hidden="1" customHeight="1">
      <c r="B51" s="123"/>
      <c r="D51" s="123"/>
      <c r="F51" s="123"/>
      <c r="H51" s="123"/>
      <c r="J51" s="123"/>
      <c r="L51" s="123"/>
      <c r="N51" s="123"/>
    </row>
    <row r="52" ht="15.75" hidden="1" customHeight="1">
      <c r="B52" s="123"/>
      <c r="D52" s="123"/>
      <c r="F52" s="123"/>
      <c r="H52" s="123"/>
      <c r="J52" s="123"/>
      <c r="L52" s="123"/>
      <c r="N52" s="123"/>
    </row>
    <row r="53" ht="15.75" hidden="1" customHeight="1">
      <c r="B53" s="123"/>
      <c r="D53" s="123"/>
      <c r="F53" s="123"/>
      <c r="H53" s="123"/>
      <c r="J53" s="123"/>
      <c r="L53" s="123"/>
      <c r="N53" s="123"/>
    </row>
    <row r="54" ht="15.75" hidden="1" customHeight="1">
      <c r="B54" s="123"/>
      <c r="D54" s="123"/>
      <c r="F54" s="123"/>
      <c r="H54" s="123"/>
      <c r="J54" s="123"/>
      <c r="L54" s="123"/>
      <c r="N54" s="123"/>
    </row>
    <row r="55" ht="15.75" hidden="1" customHeight="1">
      <c r="B55" s="123"/>
      <c r="D55" s="123"/>
      <c r="F55" s="123"/>
      <c r="H55" s="123"/>
      <c r="J55" s="123"/>
      <c r="L55" s="123"/>
      <c r="N55" s="123"/>
    </row>
    <row r="56" ht="15.75" hidden="1" customHeight="1">
      <c r="B56" s="123"/>
      <c r="D56" s="123"/>
      <c r="F56" s="123"/>
      <c r="H56" s="123"/>
      <c r="J56" s="123"/>
      <c r="L56" s="123"/>
      <c r="N56" s="123"/>
    </row>
    <row r="57" ht="15.75" hidden="1" customHeight="1">
      <c r="B57" s="123"/>
      <c r="D57" s="123"/>
      <c r="F57" s="123"/>
      <c r="H57" s="123"/>
      <c r="J57" s="123"/>
      <c r="L57" s="123"/>
      <c r="N57" s="123"/>
    </row>
    <row r="58" ht="15.75" hidden="1" customHeight="1">
      <c r="B58" s="123"/>
      <c r="D58" s="123"/>
      <c r="F58" s="123"/>
      <c r="H58" s="123"/>
      <c r="J58" s="123"/>
      <c r="L58" s="123"/>
      <c r="N58" s="123"/>
    </row>
    <row r="59" ht="15.75" hidden="1" customHeight="1">
      <c r="B59" s="123"/>
      <c r="D59" s="123"/>
      <c r="F59" s="123"/>
      <c r="H59" s="123"/>
      <c r="J59" s="123"/>
      <c r="L59" s="123"/>
      <c r="N59" s="123"/>
    </row>
    <row r="60" ht="15.75" hidden="1" customHeight="1">
      <c r="B60" s="123"/>
      <c r="D60" s="123"/>
      <c r="F60" s="123"/>
      <c r="H60" s="123"/>
      <c r="J60" s="123"/>
      <c r="L60" s="123"/>
      <c r="N60" s="123"/>
    </row>
    <row r="61" ht="15.75" hidden="1" customHeight="1">
      <c r="B61" s="123"/>
      <c r="D61" s="123"/>
      <c r="F61" s="123"/>
      <c r="H61" s="123"/>
      <c r="J61" s="123"/>
      <c r="L61" s="123"/>
      <c r="N61" s="123"/>
    </row>
    <row r="62" ht="15.75" hidden="1" customHeight="1">
      <c r="B62" s="123"/>
      <c r="D62" s="123"/>
      <c r="F62" s="123"/>
      <c r="H62" s="123"/>
      <c r="J62" s="123"/>
      <c r="L62" s="123"/>
      <c r="N62" s="123"/>
    </row>
    <row r="63" ht="15.75" hidden="1" customHeight="1">
      <c r="B63" s="123"/>
      <c r="D63" s="123"/>
      <c r="F63" s="123"/>
      <c r="H63" s="123"/>
      <c r="J63" s="123"/>
      <c r="L63" s="123"/>
      <c r="N63" s="123"/>
    </row>
    <row r="64" ht="15.75" hidden="1" customHeight="1">
      <c r="B64" s="123"/>
      <c r="D64" s="123"/>
      <c r="F64" s="123"/>
      <c r="H64" s="123"/>
      <c r="J64" s="123"/>
      <c r="L64" s="123"/>
      <c r="N64" s="123"/>
    </row>
    <row r="65" ht="15.75" hidden="1" customHeight="1">
      <c r="B65" s="123"/>
      <c r="D65" s="123"/>
      <c r="F65" s="123"/>
      <c r="H65" s="123"/>
      <c r="J65" s="123"/>
      <c r="L65" s="123"/>
      <c r="N65" s="123"/>
    </row>
    <row r="66" ht="15.75" hidden="1" customHeight="1">
      <c r="B66" s="123"/>
      <c r="D66" s="123"/>
      <c r="F66" s="123"/>
      <c r="H66" s="123"/>
      <c r="J66" s="123"/>
      <c r="L66" s="123"/>
      <c r="N66" s="123"/>
    </row>
    <row r="67" ht="15.75" hidden="1" customHeight="1">
      <c r="B67" s="123"/>
      <c r="D67" s="123"/>
      <c r="F67" s="123"/>
      <c r="H67" s="123"/>
      <c r="J67" s="123"/>
      <c r="L67" s="123"/>
      <c r="N67" s="123"/>
    </row>
    <row r="68" ht="15.75" hidden="1" customHeight="1">
      <c r="B68" s="123"/>
      <c r="D68" s="123"/>
      <c r="F68" s="123"/>
      <c r="H68" s="123"/>
      <c r="J68" s="123"/>
      <c r="L68" s="123"/>
      <c r="N68" s="123"/>
    </row>
    <row r="69" ht="15.75" hidden="1" customHeight="1">
      <c r="B69" s="123"/>
      <c r="D69" s="123"/>
      <c r="F69" s="123"/>
      <c r="H69" s="123"/>
      <c r="J69" s="123"/>
      <c r="L69" s="123"/>
      <c r="N69" s="123"/>
    </row>
    <row r="70" ht="15.75" hidden="1" customHeight="1">
      <c r="B70" s="123"/>
      <c r="D70" s="123"/>
      <c r="F70" s="123"/>
      <c r="H70" s="123"/>
      <c r="J70" s="123"/>
      <c r="L70" s="123"/>
      <c r="N70" s="123"/>
    </row>
    <row r="71" ht="15.75" hidden="1" customHeight="1">
      <c r="B71" s="123"/>
      <c r="D71" s="123"/>
      <c r="F71" s="123"/>
      <c r="H71" s="123"/>
      <c r="J71" s="123"/>
      <c r="L71" s="123"/>
      <c r="N71" s="123"/>
    </row>
    <row r="72" ht="15.75" hidden="1" customHeight="1">
      <c r="B72" s="123"/>
      <c r="D72" s="123"/>
      <c r="F72" s="123"/>
      <c r="H72" s="123"/>
      <c r="J72" s="123"/>
      <c r="L72" s="123"/>
      <c r="N72" s="123"/>
    </row>
    <row r="73" ht="15.75" hidden="1" customHeight="1">
      <c r="B73" s="123"/>
      <c r="D73" s="123"/>
      <c r="F73" s="123"/>
      <c r="H73" s="123"/>
      <c r="J73" s="123"/>
      <c r="L73" s="123"/>
      <c r="N73" s="123"/>
    </row>
    <row r="74" ht="15.75" hidden="1" customHeight="1">
      <c r="B74" s="123"/>
      <c r="D74" s="123"/>
      <c r="F74" s="123"/>
      <c r="H74" s="123"/>
      <c r="J74" s="123"/>
      <c r="L74" s="123"/>
      <c r="N74" s="123"/>
    </row>
    <row r="75" ht="15.75" hidden="1" customHeight="1">
      <c r="B75" s="123"/>
      <c r="D75" s="123"/>
      <c r="F75" s="123"/>
      <c r="H75" s="123"/>
      <c r="J75" s="123"/>
      <c r="L75" s="123"/>
      <c r="N75" s="123"/>
    </row>
    <row r="76" ht="15.75" hidden="1" customHeight="1">
      <c r="B76" s="123"/>
      <c r="D76" s="123"/>
      <c r="F76" s="123"/>
      <c r="H76" s="123"/>
      <c r="J76" s="123"/>
      <c r="L76" s="123"/>
      <c r="N76" s="123"/>
    </row>
    <row r="77" ht="15.75" hidden="1" customHeight="1">
      <c r="B77" s="123"/>
      <c r="D77" s="123"/>
      <c r="F77" s="123"/>
      <c r="H77" s="123"/>
      <c r="J77" s="123"/>
      <c r="L77" s="123"/>
      <c r="N77" s="123"/>
    </row>
    <row r="78" ht="15.75" hidden="1" customHeight="1">
      <c r="B78" s="123"/>
      <c r="D78" s="123"/>
      <c r="F78" s="123"/>
      <c r="H78" s="123"/>
      <c r="J78" s="123"/>
      <c r="L78" s="123"/>
      <c r="N78" s="123"/>
    </row>
    <row r="79" ht="15.75" hidden="1" customHeight="1">
      <c r="B79" s="123"/>
      <c r="D79" s="123"/>
      <c r="F79" s="123"/>
      <c r="H79" s="123"/>
      <c r="J79" s="123"/>
      <c r="L79" s="123"/>
      <c r="N79" s="123"/>
    </row>
    <row r="80" ht="15.75" hidden="1" customHeight="1">
      <c r="B80" s="123"/>
      <c r="D80" s="123"/>
      <c r="F80" s="123"/>
      <c r="H80" s="123"/>
      <c r="J80" s="123"/>
      <c r="L80" s="123"/>
      <c r="N80" s="123"/>
    </row>
    <row r="81" ht="15.75" hidden="1" customHeight="1">
      <c r="B81" s="123"/>
      <c r="D81" s="123"/>
      <c r="F81" s="123"/>
      <c r="H81" s="123"/>
      <c r="J81" s="123"/>
      <c r="L81" s="123"/>
      <c r="N81" s="123"/>
    </row>
    <row r="82" ht="15.75" hidden="1" customHeight="1">
      <c r="B82" s="123"/>
      <c r="D82" s="123"/>
      <c r="F82" s="123"/>
      <c r="H82" s="123"/>
      <c r="J82" s="123"/>
      <c r="L82" s="123"/>
      <c r="N82" s="123"/>
    </row>
    <row r="83" ht="15.75" hidden="1" customHeight="1">
      <c r="B83" s="123"/>
      <c r="D83" s="123"/>
      <c r="F83" s="123"/>
      <c r="H83" s="123"/>
      <c r="J83" s="123"/>
      <c r="L83" s="123"/>
      <c r="N83" s="123"/>
    </row>
    <row r="84" ht="15.75" hidden="1" customHeight="1">
      <c r="B84" s="123"/>
      <c r="D84" s="123"/>
      <c r="F84" s="123"/>
      <c r="H84" s="123"/>
      <c r="J84" s="123"/>
      <c r="L84" s="123"/>
      <c r="N84" s="123"/>
    </row>
    <row r="85" ht="15.75" hidden="1" customHeight="1">
      <c r="B85" s="123"/>
      <c r="D85" s="123"/>
      <c r="F85" s="123"/>
      <c r="H85" s="123"/>
      <c r="J85" s="123"/>
      <c r="L85" s="123"/>
      <c r="N85" s="123"/>
    </row>
    <row r="86" ht="15.75" hidden="1" customHeight="1">
      <c r="B86" s="123"/>
      <c r="D86" s="123"/>
      <c r="F86" s="123"/>
      <c r="H86" s="123"/>
      <c r="J86" s="123"/>
      <c r="L86" s="123"/>
      <c r="N86" s="123"/>
    </row>
    <row r="87" ht="15.75" hidden="1" customHeight="1">
      <c r="B87" s="123"/>
      <c r="D87" s="123"/>
      <c r="F87" s="123"/>
      <c r="H87" s="123"/>
      <c r="J87" s="123"/>
      <c r="L87" s="123"/>
      <c r="N87" s="123"/>
    </row>
    <row r="88" ht="15.75" hidden="1" customHeight="1">
      <c r="B88" s="123"/>
      <c r="D88" s="123"/>
      <c r="F88" s="123"/>
      <c r="H88" s="123"/>
      <c r="J88" s="123"/>
      <c r="L88" s="123"/>
      <c r="N88" s="123"/>
    </row>
    <row r="89" ht="15.75" hidden="1" customHeight="1">
      <c r="B89" s="123"/>
      <c r="D89" s="123"/>
      <c r="F89" s="123"/>
      <c r="H89" s="123"/>
      <c r="J89" s="123"/>
      <c r="L89" s="123"/>
      <c r="N89" s="123"/>
    </row>
    <row r="90" ht="15.75" hidden="1" customHeight="1">
      <c r="B90" s="123"/>
      <c r="D90" s="123"/>
      <c r="F90" s="123"/>
      <c r="H90" s="123"/>
      <c r="J90" s="123"/>
      <c r="L90" s="123"/>
      <c r="N90" s="123"/>
    </row>
    <row r="91" ht="15.75" hidden="1" customHeight="1">
      <c r="B91" s="123"/>
      <c r="D91" s="123"/>
      <c r="F91" s="123"/>
      <c r="H91" s="123"/>
      <c r="J91" s="123"/>
      <c r="L91" s="123"/>
      <c r="N91" s="123"/>
    </row>
    <row r="92" ht="15.75" hidden="1" customHeight="1">
      <c r="B92" s="123"/>
      <c r="D92" s="123"/>
      <c r="F92" s="123"/>
      <c r="H92" s="123"/>
      <c r="J92" s="123"/>
      <c r="L92" s="123"/>
      <c r="N92" s="123"/>
    </row>
    <row r="93" ht="15.75" hidden="1" customHeight="1">
      <c r="B93" s="123"/>
      <c r="D93" s="123"/>
      <c r="F93" s="123"/>
      <c r="H93" s="123"/>
      <c r="J93" s="123"/>
      <c r="L93" s="123"/>
      <c r="N93" s="123"/>
    </row>
    <row r="94" ht="15.75" hidden="1" customHeight="1">
      <c r="B94" s="123"/>
      <c r="D94" s="123"/>
      <c r="F94" s="123"/>
      <c r="H94" s="123"/>
      <c r="J94" s="123"/>
      <c r="L94" s="123"/>
      <c r="N94" s="123"/>
    </row>
    <row r="95" ht="15.75" hidden="1" customHeight="1">
      <c r="B95" s="123"/>
      <c r="D95" s="123"/>
      <c r="F95" s="123"/>
      <c r="H95" s="123"/>
      <c r="J95" s="123"/>
      <c r="L95" s="123"/>
      <c r="N95" s="123"/>
    </row>
    <row r="96" ht="15.75" hidden="1" customHeight="1">
      <c r="B96" s="123"/>
      <c r="D96" s="123"/>
      <c r="F96" s="123"/>
      <c r="H96" s="123"/>
      <c r="J96" s="123"/>
      <c r="L96" s="123"/>
      <c r="N96" s="123"/>
    </row>
    <row r="97" ht="15.75" hidden="1" customHeight="1">
      <c r="B97" s="123"/>
      <c r="D97" s="123"/>
      <c r="F97" s="123"/>
      <c r="H97" s="123"/>
      <c r="J97" s="123"/>
      <c r="L97" s="123"/>
      <c r="N97" s="123"/>
    </row>
    <row r="98" ht="15.75" hidden="1" customHeight="1">
      <c r="B98" s="123"/>
      <c r="D98" s="123"/>
      <c r="F98" s="123"/>
      <c r="H98" s="123"/>
      <c r="J98" s="123"/>
      <c r="L98" s="123"/>
      <c r="N98" s="123"/>
    </row>
    <row r="99" ht="15.75" hidden="1" customHeight="1">
      <c r="B99" s="123"/>
      <c r="D99" s="123"/>
      <c r="F99" s="123"/>
      <c r="H99" s="123"/>
      <c r="J99" s="123"/>
      <c r="L99" s="123"/>
      <c r="N99" s="123"/>
    </row>
    <row r="100" ht="15.75" hidden="1" customHeight="1">
      <c r="B100" s="123"/>
      <c r="D100" s="123"/>
      <c r="F100" s="123"/>
      <c r="H100" s="123"/>
      <c r="J100" s="123"/>
      <c r="L100" s="123"/>
      <c r="N100" s="123"/>
    </row>
    <row r="101" ht="15.75" hidden="1" customHeight="1">
      <c r="B101" s="123"/>
      <c r="D101" s="123"/>
      <c r="F101" s="123"/>
      <c r="H101" s="123"/>
      <c r="J101" s="123"/>
      <c r="L101" s="123"/>
      <c r="N101" s="123"/>
    </row>
    <row r="102" ht="15.75" hidden="1" customHeight="1">
      <c r="B102" s="123"/>
      <c r="D102" s="123"/>
      <c r="F102" s="123"/>
      <c r="H102" s="123"/>
      <c r="J102" s="123"/>
      <c r="L102" s="123"/>
      <c r="N102" s="123"/>
    </row>
    <row r="103" ht="15.75" hidden="1" customHeight="1">
      <c r="B103" s="123"/>
      <c r="D103" s="123"/>
      <c r="F103" s="123"/>
      <c r="H103" s="123"/>
      <c r="J103" s="123"/>
      <c r="L103" s="123"/>
      <c r="N103" s="123"/>
    </row>
    <row r="104" ht="15.75" hidden="1" customHeight="1">
      <c r="B104" s="123"/>
      <c r="D104" s="123"/>
      <c r="F104" s="123"/>
      <c r="H104" s="123"/>
      <c r="J104" s="123"/>
      <c r="L104" s="123"/>
      <c r="N104" s="123"/>
    </row>
    <row r="105" ht="15.75" hidden="1" customHeight="1">
      <c r="B105" s="123"/>
      <c r="D105" s="123"/>
      <c r="F105" s="123"/>
      <c r="H105" s="123"/>
      <c r="J105" s="123"/>
      <c r="L105" s="123"/>
      <c r="N105" s="123"/>
    </row>
    <row r="106" ht="15.75" hidden="1" customHeight="1">
      <c r="B106" s="123"/>
      <c r="D106" s="123"/>
      <c r="F106" s="123"/>
      <c r="H106" s="123"/>
      <c r="J106" s="123"/>
      <c r="L106" s="123"/>
      <c r="N106" s="123"/>
    </row>
    <row r="107" ht="15.75" hidden="1" customHeight="1">
      <c r="B107" s="123"/>
      <c r="D107" s="123"/>
      <c r="F107" s="123"/>
      <c r="H107" s="123"/>
      <c r="J107" s="123"/>
      <c r="L107" s="123"/>
      <c r="N107" s="123"/>
    </row>
    <row r="108" ht="15.75" hidden="1" customHeight="1">
      <c r="B108" s="123"/>
      <c r="D108" s="123"/>
      <c r="F108" s="123"/>
      <c r="H108" s="123"/>
      <c r="J108" s="123"/>
      <c r="L108" s="123"/>
      <c r="N108" s="123"/>
    </row>
    <row r="109" ht="15.75" hidden="1" customHeight="1">
      <c r="B109" s="123"/>
      <c r="D109" s="123"/>
      <c r="F109" s="123"/>
      <c r="H109" s="123"/>
      <c r="J109" s="123"/>
      <c r="L109" s="123"/>
      <c r="N109" s="123"/>
    </row>
    <row r="110" ht="15.75" hidden="1" customHeight="1">
      <c r="B110" s="123"/>
      <c r="D110" s="123"/>
      <c r="F110" s="123"/>
      <c r="H110" s="123"/>
      <c r="J110" s="123"/>
      <c r="L110" s="123"/>
      <c r="N110" s="123"/>
    </row>
    <row r="111" ht="15.75" hidden="1" customHeight="1">
      <c r="B111" s="123"/>
      <c r="D111" s="123"/>
      <c r="F111" s="123"/>
      <c r="H111" s="123"/>
      <c r="J111" s="123"/>
      <c r="L111" s="123"/>
      <c r="N111" s="123"/>
    </row>
    <row r="112" ht="15.75" hidden="1" customHeight="1">
      <c r="B112" s="123"/>
      <c r="D112" s="123"/>
      <c r="F112" s="123"/>
      <c r="H112" s="123"/>
      <c r="J112" s="123"/>
      <c r="L112" s="123"/>
      <c r="N112" s="123"/>
    </row>
    <row r="113" ht="15.75" hidden="1" customHeight="1">
      <c r="B113" s="123"/>
      <c r="D113" s="123"/>
      <c r="F113" s="123"/>
      <c r="H113" s="123"/>
      <c r="J113" s="123"/>
      <c r="L113" s="123"/>
      <c r="N113" s="123"/>
    </row>
    <row r="114" ht="15.75" hidden="1" customHeight="1">
      <c r="B114" s="123"/>
      <c r="D114" s="123"/>
      <c r="F114" s="123"/>
      <c r="H114" s="123"/>
      <c r="J114" s="123"/>
      <c r="L114" s="123"/>
      <c r="N114" s="123"/>
    </row>
    <row r="115" ht="15.75" hidden="1" customHeight="1">
      <c r="B115" s="123"/>
      <c r="D115" s="123"/>
      <c r="F115" s="123"/>
      <c r="H115" s="123"/>
      <c r="J115" s="123"/>
      <c r="L115" s="123"/>
      <c r="N115" s="123"/>
    </row>
    <row r="116" ht="15.75" hidden="1" customHeight="1">
      <c r="B116" s="123"/>
      <c r="D116" s="123"/>
      <c r="F116" s="123"/>
      <c r="H116" s="123"/>
      <c r="J116" s="123"/>
      <c r="L116" s="123"/>
      <c r="N116" s="123"/>
    </row>
    <row r="117" ht="15.75" hidden="1" customHeight="1">
      <c r="B117" s="123"/>
      <c r="D117" s="123"/>
      <c r="F117" s="123"/>
      <c r="H117" s="123"/>
      <c r="J117" s="123"/>
      <c r="L117" s="123"/>
      <c r="N117" s="123"/>
    </row>
    <row r="118" ht="15.75" hidden="1" customHeight="1">
      <c r="B118" s="123"/>
      <c r="D118" s="123"/>
      <c r="F118" s="123"/>
      <c r="H118" s="123"/>
      <c r="J118" s="123"/>
      <c r="L118" s="123"/>
      <c r="N118" s="123"/>
    </row>
    <row r="119" ht="15.75" hidden="1" customHeight="1">
      <c r="B119" s="123"/>
      <c r="D119" s="123"/>
      <c r="F119" s="123"/>
      <c r="H119" s="123"/>
      <c r="J119" s="123"/>
      <c r="L119" s="123"/>
      <c r="N119" s="123"/>
    </row>
    <row r="120" ht="15.75" hidden="1" customHeight="1">
      <c r="B120" s="123"/>
      <c r="D120" s="123"/>
      <c r="F120" s="123"/>
      <c r="H120" s="123"/>
      <c r="J120" s="123"/>
      <c r="L120" s="123"/>
      <c r="N120" s="123"/>
    </row>
    <row r="121" ht="15.75" hidden="1" customHeight="1">
      <c r="B121" s="123"/>
      <c r="D121" s="123"/>
      <c r="F121" s="123"/>
      <c r="H121" s="123"/>
      <c r="J121" s="123"/>
      <c r="L121" s="123"/>
      <c r="N121" s="123"/>
    </row>
    <row r="122" ht="15.75" hidden="1" customHeight="1">
      <c r="B122" s="123"/>
      <c r="D122" s="123"/>
      <c r="F122" s="123"/>
      <c r="H122" s="123"/>
      <c r="J122" s="123"/>
      <c r="L122" s="123"/>
      <c r="N122" s="123"/>
    </row>
    <row r="123" ht="15.75" hidden="1" customHeight="1">
      <c r="B123" s="123"/>
      <c r="D123" s="123"/>
      <c r="F123" s="123"/>
      <c r="H123" s="123"/>
      <c r="J123" s="123"/>
      <c r="L123" s="123"/>
      <c r="N123" s="123"/>
    </row>
    <row r="124" ht="15.75" hidden="1" customHeight="1">
      <c r="B124" s="123"/>
      <c r="D124" s="123"/>
      <c r="F124" s="123"/>
      <c r="H124" s="123"/>
      <c r="J124" s="123"/>
      <c r="L124" s="123"/>
      <c r="N124" s="123"/>
    </row>
    <row r="125" ht="15.75" hidden="1" customHeight="1">
      <c r="B125" s="123"/>
      <c r="D125" s="123"/>
      <c r="F125" s="123"/>
      <c r="H125" s="123"/>
      <c r="J125" s="123"/>
      <c r="L125" s="123"/>
      <c r="N125" s="123"/>
    </row>
    <row r="126" ht="15.75" hidden="1" customHeight="1">
      <c r="B126" s="123"/>
      <c r="D126" s="123"/>
      <c r="F126" s="123"/>
      <c r="H126" s="123"/>
      <c r="J126" s="123"/>
      <c r="L126" s="123"/>
      <c r="N126" s="123"/>
    </row>
    <row r="127" ht="15.75" hidden="1" customHeight="1">
      <c r="B127" s="123"/>
      <c r="D127" s="123"/>
      <c r="F127" s="123"/>
      <c r="H127" s="123"/>
      <c r="J127" s="123"/>
      <c r="L127" s="123"/>
      <c r="N127" s="123"/>
    </row>
    <row r="128" ht="15.75" hidden="1" customHeight="1">
      <c r="B128" s="123"/>
      <c r="D128" s="123"/>
      <c r="F128" s="123"/>
      <c r="H128" s="123"/>
      <c r="J128" s="123"/>
      <c r="L128" s="123"/>
      <c r="N128" s="123"/>
    </row>
    <row r="129" ht="15.75" hidden="1" customHeight="1">
      <c r="B129" s="123"/>
      <c r="D129" s="123"/>
      <c r="F129" s="123"/>
      <c r="H129" s="123"/>
      <c r="J129" s="123"/>
      <c r="L129" s="123"/>
      <c r="N129" s="123"/>
    </row>
    <row r="130" ht="15.75" hidden="1" customHeight="1">
      <c r="B130" s="123"/>
      <c r="D130" s="123"/>
      <c r="F130" s="123"/>
      <c r="H130" s="123"/>
      <c r="J130" s="123"/>
      <c r="L130" s="123"/>
      <c r="N130" s="123"/>
    </row>
    <row r="131" ht="15.75" hidden="1" customHeight="1">
      <c r="B131" s="123"/>
      <c r="D131" s="123"/>
      <c r="F131" s="123"/>
      <c r="H131" s="123"/>
      <c r="J131" s="123"/>
      <c r="L131" s="123"/>
      <c r="N131" s="123"/>
    </row>
    <row r="132" ht="15.75" hidden="1" customHeight="1">
      <c r="B132" s="123"/>
      <c r="D132" s="123"/>
      <c r="F132" s="123"/>
      <c r="H132" s="123"/>
      <c r="J132" s="123"/>
      <c r="L132" s="123"/>
      <c r="N132" s="123"/>
    </row>
    <row r="133" ht="15.75" hidden="1" customHeight="1">
      <c r="B133" s="123"/>
      <c r="D133" s="123"/>
      <c r="F133" s="123"/>
      <c r="H133" s="123"/>
      <c r="J133" s="123"/>
      <c r="L133" s="123"/>
      <c r="N133" s="123"/>
    </row>
    <row r="134" ht="15.75" hidden="1" customHeight="1">
      <c r="B134" s="123"/>
      <c r="D134" s="123"/>
      <c r="F134" s="123"/>
      <c r="H134" s="123"/>
      <c r="J134" s="123"/>
      <c r="L134" s="123"/>
      <c r="N134" s="123"/>
    </row>
    <row r="135" ht="15.75" hidden="1" customHeight="1">
      <c r="B135" s="123"/>
      <c r="D135" s="123"/>
      <c r="F135" s="123"/>
      <c r="H135" s="123"/>
      <c r="J135" s="123"/>
      <c r="L135" s="123"/>
      <c r="N135" s="123"/>
    </row>
    <row r="136" ht="15.75" hidden="1" customHeight="1">
      <c r="B136" s="123"/>
      <c r="D136" s="123"/>
      <c r="F136" s="123"/>
      <c r="H136" s="123"/>
      <c r="J136" s="123"/>
      <c r="L136" s="123"/>
      <c r="N136" s="123"/>
    </row>
    <row r="137" ht="15.75" hidden="1" customHeight="1">
      <c r="B137" s="123"/>
      <c r="D137" s="123"/>
      <c r="F137" s="123"/>
      <c r="H137" s="123"/>
      <c r="J137" s="123"/>
      <c r="L137" s="123"/>
      <c r="N137" s="123"/>
    </row>
    <row r="138" ht="15.75" hidden="1" customHeight="1">
      <c r="B138" s="123"/>
      <c r="D138" s="123"/>
      <c r="F138" s="123"/>
      <c r="H138" s="123"/>
      <c r="J138" s="123"/>
      <c r="L138" s="123"/>
      <c r="N138" s="123"/>
    </row>
    <row r="139" ht="15.75" hidden="1" customHeight="1">
      <c r="B139" s="123"/>
      <c r="D139" s="123"/>
      <c r="F139" s="123"/>
      <c r="H139" s="123"/>
      <c r="J139" s="123"/>
      <c r="L139" s="123"/>
      <c r="N139" s="123"/>
    </row>
    <row r="140" ht="15.75" hidden="1" customHeight="1">
      <c r="B140" s="123"/>
      <c r="D140" s="123"/>
      <c r="F140" s="123"/>
      <c r="H140" s="123"/>
      <c r="J140" s="123"/>
      <c r="L140" s="123"/>
      <c r="N140" s="123"/>
    </row>
    <row r="141" ht="15.75" hidden="1" customHeight="1">
      <c r="B141" s="123"/>
      <c r="D141" s="123"/>
      <c r="F141" s="123"/>
      <c r="H141" s="123"/>
      <c r="J141" s="123"/>
      <c r="L141" s="123"/>
      <c r="N141" s="123"/>
    </row>
    <row r="142" ht="15.75" hidden="1" customHeight="1">
      <c r="B142" s="123"/>
      <c r="D142" s="123"/>
      <c r="F142" s="123"/>
      <c r="H142" s="123"/>
      <c r="J142" s="123"/>
      <c r="L142" s="123"/>
      <c r="N142" s="123"/>
    </row>
    <row r="143" ht="15.75" hidden="1" customHeight="1">
      <c r="B143" s="123"/>
      <c r="D143" s="123"/>
      <c r="F143" s="123"/>
      <c r="H143" s="123"/>
      <c r="J143" s="123"/>
      <c r="L143" s="123"/>
      <c r="N143" s="123"/>
    </row>
    <row r="144" ht="15.75" hidden="1" customHeight="1">
      <c r="B144" s="123"/>
      <c r="D144" s="123"/>
      <c r="F144" s="123"/>
      <c r="H144" s="123"/>
      <c r="J144" s="123"/>
      <c r="L144" s="123"/>
      <c r="N144" s="123"/>
    </row>
    <row r="145" ht="15.75" hidden="1" customHeight="1">
      <c r="B145" s="123"/>
      <c r="D145" s="123"/>
      <c r="F145" s="123"/>
      <c r="H145" s="123"/>
      <c r="J145" s="123"/>
      <c r="L145" s="123"/>
      <c r="N145" s="123"/>
    </row>
    <row r="146" ht="15.75" hidden="1" customHeight="1">
      <c r="B146" s="123"/>
      <c r="D146" s="123"/>
      <c r="F146" s="123"/>
      <c r="H146" s="123"/>
      <c r="J146" s="123"/>
      <c r="L146" s="123"/>
      <c r="N146" s="123"/>
    </row>
    <row r="147" ht="15.75" hidden="1" customHeight="1">
      <c r="B147" s="123"/>
      <c r="D147" s="123"/>
      <c r="F147" s="123"/>
      <c r="H147" s="123"/>
      <c r="J147" s="123"/>
      <c r="L147" s="123"/>
      <c r="N147" s="123"/>
    </row>
    <row r="148" ht="15.75" hidden="1" customHeight="1">
      <c r="B148" s="123"/>
      <c r="D148" s="123"/>
      <c r="F148" s="123"/>
      <c r="H148" s="123"/>
      <c r="J148" s="123"/>
      <c r="L148" s="123"/>
      <c r="N148" s="123"/>
    </row>
    <row r="149" ht="15.75" hidden="1" customHeight="1">
      <c r="B149" s="123"/>
      <c r="D149" s="123"/>
      <c r="F149" s="123"/>
      <c r="H149" s="123"/>
      <c r="J149" s="123"/>
      <c r="L149" s="123"/>
      <c r="N149" s="123"/>
    </row>
    <row r="150" ht="15.75" hidden="1" customHeight="1">
      <c r="B150" s="123"/>
      <c r="D150" s="123"/>
      <c r="F150" s="123"/>
      <c r="H150" s="123"/>
      <c r="J150" s="123"/>
      <c r="L150" s="123"/>
      <c r="N150" s="123"/>
    </row>
    <row r="151" ht="15.75" hidden="1" customHeight="1">
      <c r="B151" s="123"/>
      <c r="D151" s="123"/>
      <c r="F151" s="123"/>
      <c r="H151" s="123"/>
      <c r="J151" s="123"/>
      <c r="L151" s="123"/>
      <c r="N151" s="123"/>
    </row>
    <row r="152" ht="15.75" hidden="1" customHeight="1">
      <c r="B152" s="123"/>
      <c r="D152" s="123"/>
      <c r="F152" s="123"/>
      <c r="H152" s="123"/>
      <c r="J152" s="123"/>
      <c r="L152" s="123"/>
      <c r="N152" s="123"/>
    </row>
    <row r="153" ht="15.75" hidden="1" customHeight="1">
      <c r="B153" s="123"/>
      <c r="D153" s="123"/>
      <c r="F153" s="123"/>
      <c r="H153" s="123"/>
      <c r="J153" s="123"/>
      <c r="L153" s="123"/>
      <c r="N153" s="123"/>
    </row>
    <row r="154" ht="15.75" hidden="1" customHeight="1">
      <c r="B154" s="123"/>
      <c r="D154" s="123"/>
      <c r="F154" s="123"/>
      <c r="H154" s="123"/>
      <c r="J154" s="123"/>
      <c r="L154" s="123"/>
      <c r="N154" s="123"/>
    </row>
    <row r="155" ht="15.75" hidden="1" customHeight="1">
      <c r="B155" s="123"/>
      <c r="D155" s="123"/>
      <c r="F155" s="123"/>
      <c r="H155" s="123"/>
      <c r="J155" s="123"/>
      <c r="L155" s="123"/>
      <c r="N155" s="123"/>
    </row>
    <row r="156" ht="15.75" hidden="1" customHeight="1">
      <c r="B156" s="123"/>
      <c r="D156" s="123"/>
      <c r="F156" s="123"/>
      <c r="H156" s="123"/>
      <c r="J156" s="123"/>
      <c r="L156" s="123"/>
      <c r="N156" s="123"/>
    </row>
    <row r="157" ht="15.75" hidden="1" customHeight="1">
      <c r="B157" s="123"/>
      <c r="D157" s="123"/>
      <c r="F157" s="123"/>
      <c r="H157" s="123"/>
      <c r="J157" s="123"/>
      <c r="L157" s="123"/>
      <c r="N157" s="123"/>
    </row>
    <row r="158" ht="15.75" hidden="1" customHeight="1">
      <c r="B158" s="123"/>
      <c r="D158" s="123"/>
      <c r="F158" s="123"/>
      <c r="H158" s="123"/>
      <c r="J158" s="123"/>
      <c r="L158" s="123"/>
      <c r="N158" s="123"/>
    </row>
    <row r="159" ht="15.75" hidden="1" customHeight="1">
      <c r="B159" s="123"/>
      <c r="D159" s="123"/>
      <c r="F159" s="123"/>
      <c r="H159" s="123"/>
      <c r="J159" s="123"/>
      <c r="L159" s="123"/>
      <c r="N159" s="123"/>
    </row>
    <row r="160" ht="15.75" hidden="1" customHeight="1">
      <c r="B160" s="123"/>
      <c r="D160" s="123"/>
      <c r="F160" s="123"/>
      <c r="H160" s="123"/>
      <c r="J160" s="123"/>
      <c r="L160" s="123"/>
      <c r="N160" s="123"/>
    </row>
    <row r="161" ht="15.75" hidden="1" customHeight="1">
      <c r="B161" s="123"/>
      <c r="D161" s="123"/>
      <c r="F161" s="123"/>
      <c r="H161" s="123"/>
      <c r="J161" s="123"/>
      <c r="L161" s="123"/>
      <c r="N161" s="123"/>
    </row>
    <row r="162" ht="15.75" hidden="1" customHeight="1">
      <c r="B162" s="123"/>
      <c r="D162" s="123"/>
      <c r="F162" s="123"/>
      <c r="H162" s="123"/>
      <c r="J162" s="123"/>
      <c r="L162" s="123"/>
      <c r="N162" s="123"/>
    </row>
    <row r="163" ht="15.75" hidden="1" customHeight="1">
      <c r="B163" s="123"/>
      <c r="D163" s="123"/>
      <c r="F163" s="123"/>
      <c r="H163" s="123"/>
      <c r="J163" s="123"/>
      <c r="L163" s="123"/>
      <c r="N163" s="123"/>
    </row>
    <row r="164" ht="15.75" hidden="1" customHeight="1">
      <c r="B164" s="123"/>
      <c r="D164" s="123"/>
      <c r="F164" s="123"/>
      <c r="H164" s="123"/>
      <c r="J164" s="123"/>
      <c r="L164" s="123"/>
      <c r="N164" s="123"/>
    </row>
    <row r="165" ht="15.75" hidden="1" customHeight="1">
      <c r="B165" s="123"/>
      <c r="D165" s="123"/>
      <c r="F165" s="123"/>
      <c r="H165" s="123"/>
      <c r="J165" s="123"/>
      <c r="L165" s="123"/>
      <c r="N165" s="123"/>
    </row>
    <row r="166" ht="15.75" hidden="1" customHeight="1">
      <c r="B166" s="123"/>
      <c r="D166" s="123"/>
      <c r="F166" s="123"/>
      <c r="H166" s="123"/>
      <c r="J166" s="123"/>
      <c r="L166" s="123"/>
      <c r="N166" s="123"/>
    </row>
    <row r="167" ht="15.75" hidden="1" customHeight="1">
      <c r="B167" s="123"/>
      <c r="D167" s="123"/>
      <c r="F167" s="123"/>
      <c r="H167" s="123"/>
      <c r="J167" s="123"/>
      <c r="L167" s="123"/>
      <c r="N167" s="123"/>
    </row>
    <row r="168" ht="15.75" hidden="1" customHeight="1">
      <c r="B168" s="123"/>
      <c r="D168" s="123"/>
      <c r="F168" s="123"/>
      <c r="H168" s="123"/>
      <c r="J168" s="123"/>
      <c r="L168" s="123"/>
      <c r="N168" s="123"/>
    </row>
    <row r="169" ht="15.75" hidden="1" customHeight="1">
      <c r="B169" s="123"/>
      <c r="D169" s="123"/>
      <c r="F169" s="123"/>
      <c r="H169" s="123"/>
      <c r="J169" s="123"/>
      <c r="L169" s="123"/>
      <c r="N169" s="123"/>
    </row>
    <row r="170" ht="15.75" hidden="1" customHeight="1">
      <c r="B170" s="123"/>
      <c r="D170" s="123"/>
      <c r="F170" s="123"/>
      <c r="H170" s="123"/>
      <c r="J170" s="123"/>
      <c r="L170" s="123"/>
      <c r="N170" s="123"/>
    </row>
    <row r="171" ht="15.75" hidden="1" customHeight="1">
      <c r="B171" s="123"/>
      <c r="D171" s="123"/>
      <c r="F171" s="123"/>
      <c r="H171" s="123"/>
      <c r="J171" s="123"/>
      <c r="L171" s="123"/>
      <c r="N171" s="123"/>
    </row>
    <row r="172" ht="15.75" hidden="1" customHeight="1">
      <c r="B172" s="123"/>
      <c r="D172" s="123"/>
      <c r="F172" s="123"/>
      <c r="H172" s="123"/>
      <c r="J172" s="123"/>
      <c r="L172" s="123"/>
      <c r="N172" s="123"/>
    </row>
    <row r="173" ht="15.75" hidden="1" customHeight="1">
      <c r="B173" s="123"/>
      <c r="D173" s="123"/>
      <c r="F173" s="123"/>
      <c r="H173" s="123"/>
      <c r="J173" s="123"/>
      <c r="L173" s="123"/>
      <c r="N173" s="123"/>
    </row>
    <row r="174" ht="15.75" hidden="1" customHeight="1">
      <c r="B174" s="123"/>
      <c r="D174" s="123"/>
      <c r="F174" s="123"/>
      <c r="H174" s="123"/>
      <c r="J174" s="123"/>
      <c r="L174" s="123"/>
      <c r="N174" s="123"/>
    </row>
    <row r="175" ht="15.75" hidden="1" customHeight="1">
      <c r="B175" s="123"/>
      <c r="D175" s="123"/>
      <c r="F175" s="123"/>
      <c r="H175" s="123"/>
      <c r="J175" s="123"/>
      <c r="L175" s="123"/>
      <c r="N175" s="123"/>
    </row>
    <row r="176" ht="15.75" hidden="1" customHeight="1">
      <c r="B176" s="123"/>
      <c r="D176" s="123"/>
      <c r="F176" s="123"/>
      <c r="H176" s="123"/>
      <c r="J176" s="123"/>
      <c r="L176" s="123"/>
      <c r="N176" s="123"/>
    </row>
    <row r="177" ht="15.75" hidden="1" customHeight="1">
      <c r="B177" s="123"/>
      <c r="D177" s="123"/>
      <c r="F177" s="123"/>
      <c r="H177" s="123"/>
      <c r="J177" s="123"/>
      <c r="L177" s="123"/>
      <c r="N177" s="123"/>
    </row>
    <row r="178" ht="15.75" hidden="1" customHeight="1">
      <c r="B178" s="123"/>
      <c r="D178" s="123"/>
      <c r="F178" s="123"/>
      <c r="H178" s="123"/>
      <c r="J178" s="123"/>
      <c r="L178" s="123"/>
      <c r="N178" s="123"/>
    </row>
    <row r="179" ht="15.75" hidden="1" customHeight="1">
      <c r="B179" s="123"/>
      <c r="D179" s="123"/>
      <c r="F179" s="123"/>
      <c r="H179" s="123"/>
      <c r="J179" s="123"/>
      <c r="L179" s="123"/>
      <c r="N179" s="123"/>
    </row>
    <row r="180" ht="15.75" hidden="1" customHeight="1">
      <c r="B180" s="123"/>
      <c r="D180" s="123"/>
      <c r="F180" s="123"/>
      <c r="H180" s="123"/>
      <c r="J180" s="123"/>
      <c r="L180" s="123"/>
      <c r="N180" s="123"/>
    </row>
    <row r="181" ht="15.75" hidden="1" customHeight="1">
      <c r="B181" s="123"/>
      <c r="D181" s="123"/>
      <c r="F181" s="123"/>
      <c r="H181" s="123"/>
      <c r="J181" s="123"/>
      <c r="L181" s="123"/>
      <c r="N181" s="123"/>
    </row>
    <row r="182" ht="15.75" hidden="1" customHeight="1">
      <c r="B182" s="123"/>
      <c r="D182" s="123"/>
      <c r="F182" s="123"/>
      <c r="H182" s="123"/>
      <c r="J182" s="123"/>
      <c r="L182" s="123"/>
      <c r="N182" s="123"/>
    </row>
    <row r="183" ht="15.75" hidden="1" customHeight="1">
      <c r="B183" s="123"/>
      <c r="D183" s="123"/>
      <c r="F183" s="123"/>
      <c r="H183" s="123"/>
      <c r="J183" s="123"/>
      <c r="L183" s="123"/>
      <c r="N183" s="123"/>
    </row>
    <row r="184" ht="15.75" hidden="1" customHeight="1">
      <c r="B184" s="123"/>
      <c r="D184" s="123"/>
      <c r="F184" s="123"/>
      <c r="H184" s="123"/>
      <c r="J184" s="123"/>
      <c r="L184" s="123"/>
      <c r="N184" s="123"/>
    </row>
    <row r="185" ht="15.75" hidden="1" customHeight="1">
      <c r="B185" s="123"/>
      <c r="D185" s="123"/>
      <c r="F185" s="123"/>
      <c r="H185" s="123"/>
      <c r="J185" s="123"/>
      <c r="L185" s="123"/>
      <c r="N185" s="123"/>
    </row>
    <row r="186" ht="15.75" hidden="1" customHeight="1">
      <c r="B186" s="123"/>
      <c r="D186" s="123"/>
      <c r="F186" s="123"/>
      <c r="H186" s="123"/>
      <c r="J186" s="123"/>
      <c r="L186" s="123"/>
      <c r="N186" s="123"/>
    </row>
    <row r="187" ht="15.75" hidden="1" customHeight="1">
      <c r="B187" s="123"/>
      <c r="D187" s="123"/>
      <c r="F187" s="123"/>
      <c r="H187" s="123"/>
      <c r="J187" s="123"/>
      <c r="L187" s="123"/>
      <c r="N187" s="123"/>
    </row>
    <row r="188" ht="15.75" hidden="1" customHeight="1">
      <c r="B188" s="123"/>
      <c r="D188" s="123"/>
      <c r="F188" s="123"/>
      <c r="H188" s="123"/>
      <c r="J188" s="123"/>
      <c r="L188" s="123"/>
      <c r="N188" s="123"/>
    </row>
    <row r="189" ht="15.75" hidden="1" customHeight="1">
      <c r="B189" s="123"/>
      <c r="D189" s="123"/>
      <c r="F189" s="123"/>
      <c r="H189" s="123"/>
      <c r="J189" s="123"/>
      <c r="L189" s="123"/>
      <c r="N189" s="123"/>
    </row>
    <row r="190" ht="15.75" hidden="1" customHeight="1">
      <c r="B190" s="123"/>
      <c r="D190" s="123"/>
      <c r="F190" s="123"/>
      <c r="H190" s="123"/>
      <c r="J190" s="123"/>
      <c r="L190" s="123"/>
      <c r="N190" s="123"/>
    </row>
    <row r="191" ht="15.75" hidden="1" customHeight="1">
      <c r="B191" s="123"/>
      <c r="D191" s="123"/>
      <c r="F191" s="123"/>
      <c r="H191" s="123"/>
      <c r="J191" s="123"/>
      <c r="L191" s="123"/>
      <c r="N191" s="123"/>
    </row>
    <row r="192" ht="15.75" hidden="1" customHeight="1">
      <c r="B192" s="123"/>
      <c r="D192" s="123"/>
      <c r="F192" s="123"/>
      <c r="H192" s="123"/>
      <c r="J192" s="123"/>
      <c r="L192" s="123"/>
      <c r="N192" s="123"/>
    </row>
    <row r="193" ht="15.75" hidden="1" customHeight="1">
      <c r="B193" s="123"/>
      <c r="D193" s="123"/>
      <c r="F193" s="123"/>
      <c r="H193" s="123"/>
      <c r="J193" s="123"/>
      <c r="L193" s="123"/>
      <c r="N193" s="123"/>
    </row>
    <row r="194" ht="15.75" hidden="1" customHeight="1">
      <c r="B194" s="123"/>
      <c r="D194" s="123"/>
      <c r="F194" s="123"/>
      <c r="H194" s="123"/>
      <c r="J194" s="123"/>
      <c r="L194" s="123"/>
      <c r="N194" s="123"/>
    </row>
    <row r="195" ht="15.75" hidden="1" customHeight="1">
      <c r="B195" s="123"/>
      <c r="D195" s="123"/>
      <c r="F195" s="123"/>
      <c r="H195" s="123"/>
      <c r="J195" s="123"/>
      <c r="L195" s="123"/>
      <c r="N195" s="123"/>
    </row>
    <row r="196" ht="15.75" hidden="1" customHeight="1">
      <c r="B196" s="123"/>
      <c r="D196" s="123"/>
      <c r="F196" s="123"/>
      <c r="H196" s="123"/>
      <c r="J196" s="123"/>
      <c r="L196" s="123"/>
      <c r="N196" s="123"/>
    </row>
    <row r="197" ht="15.75" hidden="1" customHeight="1">
      <c r="B197" s="123"/>
      <c r="D197" s="123"/>
      <c r="F197" s="123"/>
      <c r="H197" s="123"/>
      <c r="J197" s="123"/>
      <c r="L197" s="123"/>
      <c r="N197" s="123"/>
    </row>
    <row r="198" ht="15.75" hidden="1" customHeight="1">
      <c r="B198" s="123"/>
      <c r="D198" s="123"/>
      <c r="F198" s="123"/>
      <c r="H198" s="123"/>
      <c r="J198" s="123"/>
      <c r="L198" s="123"/>
      <c r="N198" s="123"/>
    </row>
    <row r="199" ht="15.75" hidden="1" customHeight="1">
      <c r="B199" s="123"/>
      <c r="D199" s="123"/>
      <c r="F199" s="123"/>
      <c r="H199" s="123"/>
      <c r="J199" s="123"/>
      <c r="L199" s="123"/>
      <c r="N199" s="123"/>
    </row>
    <row r="200" ht="15.75" hidden="1" customHeight="1">
      <c r="B200" s="123"/>
      <c r="D200" s="123"/>
      <c r="F200" s="123"/>
      <c r="H200" s="123"/>
      <c r="J200" s="123"/>
      <c r="L200" s="123"/>
      <c r="N200" s="123"/>
    </row>
    <row r="201" ht="15.75" hidden="1" customHeight="1">
      <c r="B201" s="123"/>
      <c r="D201" s="123"/>
      <c r="F201" s="123"/>
      <c r="H201" s="123"/>
      <c r="J201" s="123"/>
      <c r="L201" s="123"/>
      <c r="N201" s="123"/>
    </row>
    <row r="202" ht="15.75" hidden="1" customHeight="1">
      <c r="B202" s="123"/>
      <c r="D202" s="123"/>
      <c r="F202" s="123"/>
      <c r="H202" s="123"/>
      <c r="J202" s="123"/>
      <c r="L202" s="123"/>
      <c r="N202" s="123"/>
    </row>
    <row r="203" ht="15.75" hidden="1" customHeight="1">
      <c r="B203" s="123"/>
      <c r="D203" s="123"/>
      <c r="F203" s="123"/>
      <c r="H203" s="123"/>
      <c r="J203" s="123"/>
      <c r="L203" s="123"/>
      <c r="N203" s="123"/>
    </row>
    <row r="204" ht="15.75" hidden="1" customHeight="1">
      <c r="B204" s="123"/>
      <c r="D204" s="123"/>
      <c r="F204" s="123"/>
      <c r="H204" s="123"/>
      <c r="J204" s="123"/>
      <c r="L204" s="123"/>
      <c r="N204" s="123"/>
    </row>
    <row r="205" ht="15.75" hidden="1" customHeight="1">
      <c r="B205" s="123"/>
      <c r="D205" s="123"/>
      <c r="F205" s="123"/>
      <c r="H205" s="123"/>
      <c r="J205" s="123"/>
      <c r="L205" s="123"/>
      <c r="N205" s="123"/>
    </row>
    <row r="206" ht="15.75" hidden="1" customHeight="1">
      <c r="B206" s="123"/>
      <c r="D206" s="123"/>
      <c r="F206" s="123"/>
      <c r="H206" s="123"/>
      <c r="J206" s="123"/>
      <c r="L206" s="123"/>
      <c r="N206" s="123"/>
    </row>
    <row r="207" ht="15.75" hidden="1" customHeight="1">
      <c r="B207" s="123"/>
      <c r="D207" s="123"/>
      <c r="F207" s="123"/>
      <c r="H207" s="123"/>
      <c r="J207" s="123"/>
      <c r="L207" s="123"/>
      <c r="N207" s="123"/>
    </row>
    <row r="208" ht="15.75" hidden="1" customHeight="1">
      <c r="B208" s="123"/>
      <c r="D208" s="123"/>
      <c r="F208" s="123"/>
      <c r="H208" s="123"/>
      <c r="J208" s="123"/>
      <c r="L208" s="123"/>
      <c r="N208" s="123"/>
    </row>
    <row r="209" ht="15.75" hidden="1" customHeight="1">
      <c r="B209" s="123"/>
      <c r="D209" s="123"/>
      <c r="F209" s="123"/>
      <c r="H209" s="123"/>
      <c r="J209" s="123"/>
      <c r="L209" s="123"/>
      <c r="N209" s="123"/>
    </row>
    <row r="210" ht="15.75" hidden="1" customHeight="1">
      <c r="B210" s="123"/>
      <c r="D210" s="123"/>
      <c r="F210" s="123"/>
      <c r="H210" s="123"/>
      <c r="J210" s="123"/>
      <c r="L210" s="123"/>
      <c r="N210" s="123"/>
    </row>
    <row r="211" ht="15.75" hidden="1" customHeight="1">
      <c r="B211" s="123"/>
      <c r="D211" s="123"/>
      <c r="F211" s="123"/>
      <c r="H211" s="123"/>
      <c r="J211" s="123"/>
      <c r="L211" s="123"/>
      <c r="N211" s="123"/>
    </row>
    <row r="212" ht="15.75" hidden="1" customHeight="1">
      <c r="B212" s="123"/>
      <c r="D212" s="123"/>
      <c r="F212" s="123"/>
      <c r="H212" s="123"/>
      <c r="J212" s="123"/>
      <c r="L212" s="123"/>
      <c r="N212" s="123"/>
    </row>
    <row r="213" ht="15.75" hidden="1" customHeight="1">
      <c r="B213" s="123"/>
      <c r="D213" s="123"/>
      <c r="F213" s="123"/>
      <c r="H213" s="123"/>
      <c r="J213" s="123"/>
      <c r="L213" s="123"/>
      <c r="N213" s="123"/>
    </row>
    <row r="214" ht="15.75" hidden="1" customHeight="1">
      <c r="B214" s="123"/>
      <c r="D214" s="123"/>
      <c r="F214" s="123"/>
      <c r="H214" s="123"/>
      <c r="J214" s="123"/>
      <c r="L214" s="123"/>
      <c r="N214" s="123"/>
    </row>
    <row r="215" ht="15.75" hidden="1" customHeight="1">
      <c r="B215" s="123"/>
      <c r="D215" s="123"/>
      <c r="F215" s="123"/>
      <c r="H215" s="123"/>
      <c r="J215" s="123"/>
      <c r="L215" s="123"/>
      <c r="N215" s="123"/>
    </row>
    <row r="216" ht="15.75" hidden="1" customHeight="1">
      <c r="B216" s="123"/>
      <c r="D216" s="123"/>
      <c r="F216" s="123"/>
      <c r="H216" s="123"/>
      <c r="J216" s="123"/>
      <c r="L216" s="123"/>
      <c r="N216" s="123"/>
    </row>
    <row r="217" ht="15.75" hidden="1" customHeight="1">
      <c r="B217" s="123"/>
      <c r="D217" s="123"/>
      <c r="F217" s="123"/>
      <c r="H217" s="123"/>
      <c r="J217" s="123"/>
      <c r="L217" s="123"/>
      <c r="N217" s="123"/>
    </row>
    <row r="218" ht="15.75" hidden="1" customHeight="1">
      <c r="B218" s="123"/>
      <c r="D218" s="123"/>
      <c r="F218" s="123"/>
      <c r="H218" s="123"/>
      <c r="J218" s="123"/>
      <c r="L218" s="123"/>
      <c r="N218" s="123"/>
    </row>
    <row r="219" ht="15.75" hidden="1" customHeight="1">
      <c r="B219" s="123"/>
      <c r="D219" s="123"/>
      <c r="F219" s="123"/>
      <c r="H219" s="123"/>
      <c r="J219" s="123"/>
      <c r="L219" s="123"/>
      <c r="N219" s="123"/>
    </row>
    <row r="220" ht="15.75" hidden="1" customHeight="1">
      <c r="B220" s="123"/>
      <c r="D220" s="123"/>
      <c r="F220" s="123"/>
      <c r="H220" s="123"/>
      <c r="J220" s="123"/>
      <c r="L220" s="123"/>
      <c r="N220" s="123"/>
    </row>
    <row r="221" ht="15.75" hidden="1" customHeight="1">
      <c r="B221" s="123"/>
      <c r="D221" s="123"/>
      <c r="F221" s="123"/>
      <c r="H221" s="123"/>
      <c r="J221" s="123"/>
      <c r="L221" s="123"/>
      <c r="N221" s="123"/>
    </row>
    <row r="222" ht="15.75" hidden="1" customHeight="1">
      <c r="B222" s="123"/>
      <c r="D222" s="123"/>
      <c r="F222" s="123"/>
      <c r="H222" s="123"/>
      <c r="J222" s="123"/>
      <c r="L222" s="123"/>
      <c r="N222" s="123"/>
    </row>
    <row r="223" ht="15.75" hidden="1" customHeight="1">
      <c r="B223" s="123"/>
      <c r="D223" s="123"/>
      <c r="F223" s="123"/>
      <c r="H223" s="123"/>
      <c r="J223" s="123"/>
      <c r="L223" s="123"/>
      <c r="N223" s="123"/>
    </row>
    <row r="224" ht="15.75" hidden="1" customHeight="1">
      <c r="B224" s="123"/>
      <c r="D224" s="123"/>
      <c r="F224" s="123"/>
      <c r="H224" s="123"/>
      <c r="J224" s="123"/>
      <c r="L224" s="123"/>
      <c r="N224" s="123"/>
    </row>
    <row r="225" ht="15.75" hidden="1" customHeight="1">
      <c r="B225" s="123"/>
      <c r="D225" s="123"/>
      <c r="F225" s="123"/>
      <c r="H225" s="123"/>
      <c r="J225" s="123"/>
      <c r="L225" s="123"/>
      <c r="N225" s="123"/>
    </row>
    <row r="226" ht="15.75" hidden="1" customHeight="1">
      <c r="B226" s="123"/>
      <c r="D226" s="123"/>
      <c r="F226" s="123"/>
      <c r="H226" s="123"/>
      <c r="J226" s="123"/>
      <c r="L226" s="123"/>
      <c r="N226" s="123"/>
    </row>
    <row r="227" ht="15.75" hidden="1" customHeight="1">
      <c r="B227" s="123"/>
      <c r="D227" s="123"/>
      <c r="F227" s="123"/>
      <c r="H227" s="123"/>
      <c r="J227" s="123"/>
      <c r="L227" s="123"/>
      <c r="N227" s="123"/>
    </row>
    <row r="228" ht="15.75" hidden="1" customHeight="1">
      <c r="B228" s="123"/>
      <c r="D228" s="123"/>
      <c r="F228" s="123"/>
      <c r="H228" s="123"/>
      <c r="J228" s="123"/>
      <c r="L228" s="123"/>
      <c r="N228" s="123"/>
    </row>
    <row r="229" ht="15.75" hidden="1" customHeight="1">
      <c r="B229" s="123"/>
      <c r="D229" s="123"/>
      <c r="F229" s="123"/>
      <c r="H229" s="123"/>
      <c r="J229" s="123"/>
      <c r="L229" s="123"/>
      <c r="N229" s="123"/>
    </row>
    <row r="230" ht="15.75" hidden="1" customHeight="1">
      <c r="B230" s="123"/>
      <c r="D230" s="123"/>
      <c r="F230" s="123"/>
      <c r="H230" s="123"/>
      <c r="J230" s="123"/>
      <c r="L230" s="123"/>
      <c r="N230" s="123"/>
    </row>
    <row r="231" ht="15.75" hidden="1" customHeight="1">
      <c r="B231" s="123"/>
      <c r="D231" s="123"/>
      <c r="F231" s="123"/>
      <c r="H231" s="123"/>
      <c r="J231" s="123"/>
      <c r="L231" s="123"/>
      <c r="N231" s="123"/>
    </row>
    <row r="232" ht="15.75" hidden="1" customHeight="1">
      <c r="B232" s="123"/>
      <c r="D232" s="123"/>
      <c r="F232" s="123"/>
      <c r="H232" s="123"/>
      <c r="J232" s="123"/>
      <c r="L232" s="123"/>
      <c r="N232" s="123"/>
    </row>
    <row r="233" ht="15.75" hidden="1" customHeight="1">
      <c r="B233" s="123"/>
      <c r="D233" s="123"/>
      <c r="F233" s="123"/>
      <c r="H233" s="123"/>
      <c r="J233" s="123"/>
      <c r="L233" s="123"/>
      <c r="N233" s="123"/>
    </row>
    <row r="234" ht="15.75" hidden="1" customHeight="1">
      <c r="B234" s="123"/>
      <c r="D234" s="123"/>
      <c r="F234" s="123"/>
      <c r="H234" s="123"/>
      <c r="J234" s="123"/>
      <c r="L234" s="123"/>
      <c r="N234" s="123"/>
    </row>
    <row r="235" ht="15.75" hidden="1" customHeight="1">
      <c r="B235" s="123"/>
      <c r="D235" s="123"/>
      <c r="F235" s="123"/>
      <c r="H235" s="123"/>
      <c r="J235" s="123"/>
      <c r="L235" s="123"/>
      <c r="N235" s="123"/>
    </row>
    <row r="236" ht="15.75" hidden="1" customHeight="1">
      <c r="B236" s="123"/>
      <c r="D236" s="123"/>
      <c r="F236" s="123"/>
      <c r="H236" s="123"/>
      <c r="J236" s="123"/>
      <c r="L236" s="123"/>
      <c r="N236" s="123"/>
    </row>
    <row r="237" ht="15.75" hidden="1" customHeight="1">
      <c r="B237" s="123"/>
      <c r="D237" s="123"/>
      <c r="F237" s="123"/>
      <c r="H237" s="123"/>
      <c r="J237" s="123"/>
      <c r="L237" s="123"/>
      <c r="N237" s="123"/>
    </row>
    <row r="238" ht="15.75" hidden="1" customHeight="1">
      <c r="B238" s="123"/>
      <c r="D238" s="123"/>
      <c r="F238" s="123"/>
      <c r="H238" s="123"/>
      <c r="J238" s="123"/>
      <c r="L238" s="123"/>
      <c r="N238" s="123"/>
    </row>
    <row r="239" ht="15.75" hidden="1" customHeight="1">
      <c r="B239" s="123"/>
      <c r="D239" s="123"/>
      <c r="F239" s="123"/>
      <c r="H239" s="123"/>
      <c r="J239" s="123"/>
      <c r="L239" s="123"/>
      <c r="N239" s="123"/>
    </row>
    <row r="240" ht="15.75" hidden="1" customHeight="1">
      <c r="B240" s="123"/>
      <c r="D240" s="123"/>
      <c r="F240" s="123"/>
      <c r="H240" s="123"/>
      <c r="J240" s="123"/>
      <c r="L240" s="123"/>
      <c r="N240" s="123"/>
    </row>
    <row r="241" ht="15.75" hidden="1" customHeight="1">
      <c r="B241" s="123"/>
      <c r="D241" s="123"/>
      <c r="F241" s="123"/>
      <c r="H241" s="123"/>
      <c r="J241" s="123"/>
      <c r="L241" s="123"/>
      <c r="N241" s="123"/>
    </row>
    <row r="242" ht="15.75" hidden="1" customHeight="1">
      <c r="B242" s="123"/>
      <c r="D242" s="123"/>
      <c r="F242" s="123"/>
      <c r="H242" s="123"/>
      <c r="J242" s="123"/>
      <c r="L242" s="123"/>
      <c r="N242" s="123"/>
    </row>
    <row r="243" ht="15.75" hidden="1" customHeight="1">
      <c r="B243" s="123"/>
      <c r="D243" s="123"/>
      <c r="F243" s="123"/>
      <c r="H243" s="123"/>
      <c r="J243" s="123"/>
      <c r="L243" s="123"/>
      <c r="N243" s="123"/>
    </row>
    <row r="244" ht="15.75" hidden="1" customHeight="1">
      <c r="B244" s="123"/>
      <c r="D244" s="123"/>
      <c r="F244" s="123"/>
      <c r="H244" s="123"/>
      <c r="J244" s="123"/>
      <c r="L244" s="123"/>
      <c r="N244" s="123"/>
    </row>
    <row r="245" ht="15.75" hidden="1" customHeight="1">
      <c r="B245" s="123"/>
      <c r="D245" s="123"/>
      <c r="F245" s="123"/>
      <c r="H245" s="123"/>
      <c r="J245" s="123"/>
      <c r="L245" s="123"/>
      <c r="N245" s="123"/>
    </row>
    <row r="246" ht="15.75" hidden="1" customHeight="1">
      <c r="B246" s="123"/>
      <c r="D246" s="123"/>
      <c r="F246" s="123"/>
      <c r="H246" s="123"/>
      <c r="J246" s="123"/>
      <c r="L246" s="123"/>
      <c r="N246" s="123"/>
    </row>
    <row r="247" ht="15.75" hidden="1" customHeight="1">
      <c r="B247" s="123"/>
      <c r="D247" s="123"/>
      <c r="F247" s="123"/>
      <c r="H247" s="123"/>
      <c r="J247" s="123"/>
      <c r="L247" s="123"/>
      <c r="N247" s="123"/>
    </row>
    <row r="248" ht="15.75" hidden="1" customHeight="1">
      <c r="B248" s="123"/>
      <c r="D248" s="123"/>
      <c r="F248" s="123"/>
      <c r="H248" s="123"/>
      <c r="J248" s="123"/>
      <c r="L248" s="123"/>
      <c r="N248" s="123"/>
    </row>
    <row r="249" ht="15.75" hidden="1" customHeight="1">
      <c r="B249" s="123"/>
      <c r="D249" s="123"/>
      <c r="F249" s="123"/>
      <c r="H249" s="123"/>
      <c r="J249" s="123"/>
      <c r="L249" s="123"/>
      <c r="N249" s="123"/>
    </row>
    <row r="250" ht="15.75" hidden="1" customHeight="1">
      <c r="B250" s="123"/>
      <c r="D250" s="123"/>
      <c r="F250" s="123"/>
      <c r="H250" s="123"/>
      <c r="J250" s="123"/>
      <c r="L250" s="123"/>
      <c r="N250" s="123"/>
    </row>
    <row r="251" ht="15.75" hidden="1" customHeight="1">
      <c r="B251" s="123"/>
      <c r="D251" s="123"/>
      <c r="F251" s="123"/>
      <c r="H251" s="123"/>
      <c r="J251" s="123"/>
      <c r="L251" s="123"/>
      <c r="N251" s="123"/>
    </row>
    <row r="252" ht="15.75" hidden="1" customHeight="1">
      <c r="B252" s="123"/>
      <c r="D252" s="123"/>
      <c r="F252" s="123"/>
      <c r="H252" s="123"/>
      <c r="J252" s="123"/>
      <c r="L252" s="123"/>
      <c r="N252" s="123"/>
    </row>
    <row r="253" ht="15.75" hidden="1" customHeight="1">
      <c r="B253" s="123"/>
      <c r="D253" s="123"/>
      <c r="F253" s="123"/>
      <c r="H253" s="123"/>
      <c r="J253" s="123"/>
      <c r="L253" s="123"/>
      <c r="N253" s="123"/>
    </row>
    <row r="254" ht="15.75" hidden="1" customHeight="1">
      <c r="B254" s="123"/>
      <c r="D254" s="123"/>
      <c r="F254" s="123"/>
      <c r="H254" s="123"/>
      <c r="J254" s="123"/>
      <c r="L254" s="123"/>
      <c r="N254" s="123"/>
    </row>
    <row r="255" ht="15.75" hidden="1" customHeight="1">
      <c r="B255" s="123"/>
      <c r="D255" s="123"/>
      <c r="F255" s="123"/>
      <c r="H255" s="123"/>
      <c r="J255" s="123"/>
      <c r="L255" s="123"/>
      <c r="N255" s="123"/>
    </row>
    <row r="256" ht="15.75" hidden="1" customHeight="1">
      <c r="B256" s="123"/>
      <c r="D256" s="123"/>
      <c r="F256" s="123"/>
      <c r="H256" s="123"/>
      <c r="J256" s="123"/>
      <c r="L256" s="123"/>
      <c r="N256" s="123"/>
    </row>
    <row r="257" ht="15.75" hidden="1" customHeight="1">
      <c r="B257" s="123"/>
      <c r="D257" s="123"/>
      <c r="F257" s="123"/>
      <c r="H257" s="123"/>
      <c r="J257" s="123"/>
      <c r="L257" s="123"/>
      <c r="N257" s="123"/>
    </row>
    <row r="258" ht="15.75" hidden="1" customHeight="1">
      <c r="B258" s="123"/>
      <c r="D258" s="123"/>
      <c r="F258" s="123"/>
      <c r="H258" s="123"/>
      <c r="J258" s="123"/>
      <c r="L258" s="123"/>
      <c r="N258" s="123"/>
    </row>
    <row r="259" ht="15.75" hidden="1" customHeight="1">
      <c r="B259" s="123"/>
      <c r="D259" s="123"/>
      <c r="F259" s="123"/>
      <c r="H259" s="123"/>
      <c r="J259" s="123"/>
      <c r="L259" s="123"/>
      <c r="N259" s="123"/>
    </row>
    <row r="260" ht="15.75" hidden="1" customHeight="1">
      <c r="B260" s="123"/>
      <c r="D260" s="123"/>
      <c r="F260" s="123"/>
      <c r="H260" s="123"/>
      <c r="J260" s="123"/>
      <c r="L260" s="123"/>
      <c r="N260" s="123"/>
    </row>
    <row r="261" ht="15.75" hidden="1" customHeight="1">
      <c r="B261" s="123"/>
      <c r="D261" s="123"/>
      <c r="F261" s="123"/>
      <c r="H261" s="123"/>
      <c r="J261" s="123"/>
      <c r="L261" s="123"/>
      <c r="N261" s="123"/>
    </row>
    <row r="262" ht="15.75" hidden="1" customHeight="1">
      <c r="B262" s="123"/>
      <c r="D262" s="123"/>
      <c r="F262" s="123"/>
      <c r="H262" s="123"/>
      <c r="J262" s="123"/>
      <c r="L262" s="123"/>
      <c r="N262" s="123"/>
    </row>
    <row r="263" ht="15.75" hidden="1" customHeight="1">
      <c r="B263" s="123"/>
      <c r="D263" s="123"/>
      <c r="F263" s="123"/>
      <c r="H263" s="123"/>
      <c r="J263" s="123"/>
      <c r="L263" s="123"/>
      <c r="N263" s="123"/>
    </row>
    <row r="264" ht="15.75" hidden="1" customHeight="1">
      <c r="B264" s="123"/>
      <c r="D264" s="123"/>
      <c r="F264" s="123"/>
      <c r="H264" s="123"/>
      <c r="J264" s="123"/>
      <c r="L264" s="123"/>
      <c r="N264" s="123"/>
    </row>
    <row r="265" ht="15.75" hidden="1" customHeight="1">
      <c r="B265" s="123"/>
      <c r="D265" s="123"/>
      <c r="F265" s="123"/>
      <c r="H265" s="123"/>
      <c r="J265" s="123"/>
      <c r="L265" s="123"/>
      <c r="N265" s="123"/>
    </row>
    <row r="266" ht="15.75" hidden="1" customHeight="1">
      <c r="B266" s="123"/>
      <c r="D266" s="123"/>
      <c r="F266" s="123"/>
      <c r="H266" s="123"/>
      <c r="J266" s="123"/>
      <c r="L266" s="123"/>
      <c r="N266" s="123"/>
    </row>
    <row r="267" ht="15.75" hidden="1" customHeight="1">
      <c r="B267" s="123"/>
      <c r="D267" s="123"/>
      <c r="F267" s="123"/>
      <c r="H267" s="123"/>
      <c r="J267" s="123"/>
      <c r="L267" s="123"/>
      <c r="N267" s="123"/>
    </row>
    <row r="268" ht="15.75" hidden="1" customHeight="1">
      <c r="B268" s="123"/>
      <c r="D268" s="123"/>
      <c r="F268" s="123"/>
      <c r="H268" s="123"/>
      <c r="J268" s="123"/>
      <c r="L268" s="123"/>
      <c r="N268" s="123"/>
    </row>
    <row r="269" ht="15.75" hidden="1" customHeight="1">
      <c r="B269" s="123"/>
      <c r="D269" s="123"/>
      <c r="F269" s="123"/>
      <c r="H269" s="123"/>
      <c r="J269" s="123"/>
      <c r="L269" s="123"/>
      <c r="N269" s="123"/>
    </row>
    <row r="270" ht="15.75" hidden="1" customHeight="1">
      <c r="B270" s="123"/>
      <c r="D270" s="123"/>
      <c r="F270" s="123"/>
      <c r="H270" s="123"/>
      <c r="J270" s="123"/>
      <c r="L270" s="123"/>
      <c r="N270" s="123"/>
    </row>
    <row r="271" ht="15.75" hidden="1" customHeight="1">
      <c r="B271" s="123"/>
      <c r="D271" s="123"/>
      <c r="F271" s="123"/>
      <c r="H271" s="123"/>
      <c r="J271" s="123"/>
      <c r="L271" s="123"/>
      <c r="N271" s="123"/>
    </row>
    <row r="272" ht="15.75" hidden="1" customHeight="1">
      <c r="B272" s="123"/>
      <c r="D272" s="123"/>
      <c r="F272" s="123"/>
      <c r="H272" s="123"/>
      <c r="J272" s="123"/>
      <c r="L272" s="123"/>
      <c r="N272" s="123"/>
    </row>
    <row r="273" ht="15.75" hidden="1" customHeight="1">
      <c r="B273" s="123"/>
      <c r="D273" s="123"/>
      <c r="F273" s="123"/>
      <c r="H273" s="123"/>
      <c r="J273" s="123"/>
      <c r="L273" s="123"/>
      <c r="N273" s="123"/>
    </row>
    <row r="274" ht="15.75" hidden="1" customHeight="1">
      <c r="B274" s="123"/>
      <c r="D274" s="123"/>
      <c r="F274" s="123"/>
      <c r="H274" s="123"/>
      <c r="J274" s="123"/>
      <c r="L274" s="123"/>
      <c r="N274" s="123"/>
    </row>
    <row r="275" ht="15.75" hidden="1" customHeight="1">
      <c r="B275" s="123"/>
      <c r="D275" s="123"/>
      <c r="F275" s="123"/>
      <c r="H275" s="123"/>
      <c r="J275" s="123"/>
      <c r="L275" s="123"/>
      <c r="N275" s="123"/>
    </row>
    <row r="276" ht="15.75" hidden="1" customHeight="1">
      <c r="B276" s="123"/>
      <c r="D276" s="123"/>
      <c r="F276" s="123"/>
      <c r="H276" s="123"/>
      <c r="J276" s="123"/>
      <c r="L276" s="123"/>
      <c r="N276" s="123"/>
    </row>
    <row r="277" ht="15.75" hidden="1" customHeight="1">
      <c r="B277" s="123"/>
      <c r="D277" s="123"/>
      <c r="F277" s="123"/>
      <c r="H277" s="123"/>
      <c r="J277" s="123"/>
      <c r="L277" s="123"/>
      <c r="N277" s="123"/>
    </row>
    <row r="278" ht="15.75" hidden="1" customHeight="1">
      <c r="B278" s="123"/>
      <c r="D278" s="123"/>
      <c r="F278" s="123"/>
      <c r="H278" s="123"/>
      <c r="J278" s="123"/>
      <c r="L278" s="123"/>
      <c r="N278" s="123"/>
    </row>
    <row r="279" ht="15.75" hidden="1" customHeight="1">
      <c r="B279" s="123"/>
      <c r="D279" s="123"/>
      <c r="F279" s="123"/>
      <c r="H279" s="123"/>
      <c r="J279" s="123"/>
      <c r="L279" s="123"/>
      <c r="N279" s="123"/>
    </row>
    <row r="280" ht="15.75" hidden="1" customHeight="1">
      <c r="B280" s="123"/>
      <c r="D280" s="123"/>
      <c r="F280" s="123"/>
      <c r="H280" s="123"/>
      <c r="J280" s="123"/>
      <c r="L280" s="123"/>
      <c r="N280" s="123"/>
    </row>
    <row r="281" ht="15.75" hidden="1" customHeight="1">
      <c r="B281" s="123"/>
      <c r="D281" s="123"/>
      <c r="F281" s="123"/>
      <c r="H281" s="123"/>
      <c r="J281" s="123"/>
      <c r="L281" s="123"/>
      <c r="N281" s="123"/>
    </row>
    <row r="282" ht="15.75" hidden="1" customHeight="1">
      <c r="B282" s="123"/>
      <c r="D282" s="123"/>
      <c r="F282" s="123"/>
      <c r="H282" s="123"/>
      <c r="J282" s="123"/>
      <c r="L282" s="123"/>
      <c r="N282" s="123"/>
    </row>
    <row r="283" ht="15.75" hidden="1" customHeight="1">
      <c r="B283" s="123"/>
      <c r="D283" s="123"/>
      <c r="F283" s="123"/>
      <c r="H283" s="123"/>
      <c r="J283" s="123"/>
      <c r="L283" s="123"/>
      <c r="N283" s="123"/>
    </row>
    <row r="284" ht="15.75" hidden="1" customHeight="1">
      <c r="B284" s="123"/>
      <c r="D284" s="123"/>
      <c r="F284" s="123"/>
      <c r="H284" s="123"/>
      <c r="J284" s="123"/>
      <c r="L284" s="123"/>
      <c r="N284" s="123"/>
    </row>
    <row r="285" ht="15.75" hidden="1" customHeight="1">
      <c r="B285" s="123"/>
      <c r="D285" s="123"/>
      <c r="F285" s="123"/>
      <c r="H285" s="123"/>
      <c r="J285" s="123"/>
      <c r="L285" s="123"/>
      <c r="N285" s="123"/>
    </row>
    <row r="286" ht="15.75" hidden="1" customHeight="1">
      <c r="B286" s="123"/>
      <c r="D286" s="123"/>
      <c r="F286" s="123"/>
      <c r="H286" s="123"/>
      <c r="J286" s="123"/>
      <c r="L286" s="123"/>
      <c r="N286" s="123"/>
    </row>
    <row r="287" ht="15.75" hidden="1" customHeight="1">
      <c r="B287" s="123"/>
      <c r="D287" s="123"/>
      <c r="F287" s="123"/>
      <c r="H287" s="123"/>
      <c r="J287" s="123"/>
      <c r="L287" s="123"/>
      <c r="N287" s="123"/>
    </row>
    <row r="288" ht="15.75" hidden="1" customHeight="1">
      <c r="B288" s="123"/>
      <c r="D288" s="123"/>
      <c r="F288" s="123"/>
      <c r="H288" s="123"/>
      <c r="J288" s="123"/>
      <c r="L288" s="123"/>
      <c r="N288" s="123"/>
    </row>
    <row r="289" ht="15.75" hidden="1" customHeight="1">
      <c r="B289" s="123"/>
      <c r="D289" s="123"/>
      <c r="F289" s="123"/>
      <c r="H289" s="123"/>
      <c r="J289" s="123"/>
      <c r="L289" s="123"/>
      <c r="N289" s="123"/>
    </row>
    <row r="290" ht="15.75" hidden="1" customHeight="1">
      <c r="B290" s="123"/>
      <c r="D290" s="123"/>
      <c r="F290" s="123"/>
      <c r="H290" s="123"/>
      <c r="J290" s="123"/>
      <c r="L290" s="123"/>
      <c r="N290" s="123"/>
    </row>
    <row r="291" ht="15.75" hidden="1" customHeight="1">
      <c r="B291" s="123"/>
      <c r="D291" s="123"/>
      <c r="F291" s="123"/>
      <c r="H291" s="123"/>
      <c r="J291" s="123"/>
      <c r="L291" s="123"/>
      <c r="N291" s="123"/>
    </row>
    <row r="292" ht="15.75" hidden="1" customHeight="1">
      <c r="B292" s="123"/>
      <c r="D292" s="123"/>
      <c r="F292" s="123"/>
      <c r="H292" s="123"/>
      <c r="J292" s="123"/>
      <c r="L292" s="123"/>
      <c r="N292" s="123"/>
    </row>
    <row r="293" ht="15.75" hidden="1" customHeight="1">
      <c r="B293" s="123"/>
      <c r="D293" s="123"/>
      <c r="F293" s="123"/>
      <c r="H293" s="123"/>
      <c r="J293" s="123"/>
      <c r="L293" s="123"/>
      <c r="N293" s="123"/>
    </row>
    <row r="294" ht="15.75" hidden="1" customHeight="1">
      <c r="B294" s="123"/>
      <c r="D294" s="123"/>
      <c r="F294" s="123"/>
      <c r="H294" s="123"/>
      <c r="J294" s="123"/>
      <c r="L294" s="123"/>
      <c r="N294" s="123"/>
    </row>
    <row r="295" ht="15.75" hidden="1" customHeight="1">
      <c r="B295" s="123"/>
      <c r="D295" s="123"/>
      <c r="F295" s="123"/>
      <c r="H295" s="123"/>
      <c r="J295" s="123"/>
      <c r="L295" s="123"/>
      <c r="N295" s="123"/>
    </row>
    <row r="296" ht="15.75" hidden="1" customHeight="1">
      <c r="B296" s="123"/>
      <c r="D296" s="123"/>
      <c r="F296" s="123"/>
      <c r="H296" s="123"/>
      <c r="J296" s="123"/>
      <c r="L296" s="123"/>
      <c r="N296" s="123"/>
    </row>
    <row r="297" ht="15.75" hidden="1" customHeight="1">
      <c r="B297" s="123"/>
      <c r="D297" s="123"/>
      <c r="F297" s="123"/>
      <c r="H297" s="123"/>
      <c r="J297" s="123"/>
      <c r="L297" s="123"/>
      <c r="N297" s="123"/>
    </row>
    <row r="298" ht="15.75" hidden="1" customHeight="1">
      <c r="B298" s="123"/>
      <c r="D298" s="123"/>
      <c r="F298" s="123"/>
      <c r="H298" s="123"/>
      <c r="J298" s="123"/>
      <c r="L298" s="123"/>
      <c r="N298" s="123"/>
    </row>
    <row r="299" ht="15.75" hidden="1" customHeight="1">
      <c r="B299" s="123"/>
      <c r="D299" s="123"/>
      <c r="F299" s="123"/>
      <c r="H299" s="123"/>
      <c r="J299" s="123"/>
      <c r="L299" s="123"/>
      <c r="N299" s="123"/>
    </row>
    <row r="300" ht="15.75" hidden="1" customHeight="1">
      <c r="B300" s="123"/>
      <c r="D300" s="123"/>
      <c r="F300" s="123"/>
      <c r="H300" s="123"/>
      <c r="J300" s="123"/>
      <c r="L300" s="123"/>
      <c r="N300" s="123"/>
    </row>
    <row r="301" ht="15.75" hidden="1" customHeight="1">
      <c r="B301" s="123"/>
      <c r="D301" s="123"/>
      <c r="F301" s="123"/>
      <c r="H301" s="123"/>
      <c r="J301" s="123"/>
      <c r="L301" s="123"/>
      <c r="N301" s="123"/>
    </row>
    <row r="302" ht="15.75" hidden="1" customHeight="1">
      <c r="B302" s="123"/>
      <c r="D302" s="123"/>
      <c r="F302" s="123"/>
      <c r="H302" s="123"/>
      <c r="J302" s="123"/>
      <c r="L302" s="123"/>
      <c r="N302" s="123"/>
    </row>
    <row r="303" ht="15.75" hidden="1" customHeight="1">
      <c r="B303" s="123"/>
      <c r="D303" s="123"/>
      <c r="F303" s="123"/>
      <c r="H303" s="123"/>
      <c r="J303" s="123"/>
      <c r="L303" s="123"/>
      <c r="N303" s="123"/>
    </row>
    <row r="304" ht="15.75" hidden="1" customHeight="1">
      <c r="B304" s="123"/>
      <c r="D304" s="123"/>
      <c r="F304" s="123"/>
      <c r="H304" s="123"/>
      <c r="J304" s="123"/>
      <c r="L304" s="123"/>
      <c r="N304" s="123"/>
    </row>
    <row r="305" ht="15.75" hidden="1" customHeight="1">
      <c r="B305" s="123"/>
      <c r="D305" s="123"/>
      <c r="F305" s="123"/>
      <c r="H305" s="123"/>
      <c r="J305" s="123"/>
      <c r="L305" s="123"/>
      <c r="N305" s="123"/>
    </row>
    <row r="306" ht="15.75" hidden="1" customHeight="1">
      <c r="B306" s="123"/>
      <c r="D306" s="123"/>
      <c r="F306" s="123"/>
      <c r="H306" s="123"/>
      <c r="J306" s="123"/>
      <c r="L306" s="123"/>
      <c r="N306" s="123"/>
    </row>
    <row r="307" ht="15.75" hidden="1" customHeight="1">
      <c r="B307" s="123"/>
      <c r="D307" s="123"/>
      <c r="F307" s="123"/>
      <c r="H307" s="123"/>
      <c r="J307" s="123"/>
      <c r="L307" s="123"/>
      <c r="N307" s="123"/>
    </row>
    <row r="308" ht="15.75" hidden="1" customHeight="1">
      <c r="B308" s="123"/>
      <c r="D308" s="123"/>
      <c r="F308" s="123"/>
      <c r="H308" s="123"/>
      <c r="J308" s="123"/>
      <c r="L308" s="123"/>
      <c r="N308" s="123"/>
    </row>
    <row r="309" ht="15.75" hidden="1" customHeight="1">
      <c r="B309" s="123"/>
      <c r="D309" s="123"/>
      <c r="F309" s="123"/>
      <c r="H309" s="123"/>
      <c r="J309" s="123"/>
      <c r="L309" s="123"/>
      <c r="N309" s="123"/>
    </row>
    <row r="310" ht="15.75" hidden="1" customHeight="1">
      <c r="B310" s="123"/>
      <c r="D310" s="123"/>
      <c r="F310" s="123"/>
      <c r="H310" s="123"/>
      <c r="J310" s="123"/>
      <c r="L310" s="123"/>
      <c r="N310" s="123"/>
    </row>
    <row r="311" ht="15.75" hidden="1" customHeight="1">
      <c r="B311" s="123"/>
      <c r="D311" s="123"/>
      <c r="F311" s="123"/>
      <c r="H311" s="123"/>
      <c r="J311" s="123"/>
      <c r="L311" s="123"/>
      <c r="N311" s="123"/>
    </row>
    <row r="312" ht="15.75" hidden="1" customHeight="1">
      <c r="B312" s="123"/>
      <c r="D312" s="123"/>
      <c r="F312" s="123"/>
      <c r="H312" s="123"/>
      <c r="J312" s="123"/>
      <c r="L312" s="123"/>
      <c r="N312" s="123"/>
    </row>
    <row r="313" ht="15.75" hidden="1" customHeight="1">
      <c r="B313" s="123"/>
      <c r="D313" s="123"/>
      <c r="F313" s="123"/>
      <c r="H313" s="123"/>
      <c r="J313" s="123"/>
      <c r="L313" s="123"/>
      <c r="N313" s="123"/>
    </row>
    <row r="314" ht="15.75" hidden="1" customHeight="1">
      <c r="B314" s="123"/>
      <c r="D314" s="123"/>
      <c r="F314" s="123"/>
      <c r="H314" s="123"/>
      <c r="J314" s="123"/>
      <c r="L314" s="123"/>
      <c r="N314" s="123"/>
    </row>
    <row r="315" ht="15.75" hidden="1" customHeight="1">
      <c r="B315" s="123"/>
      <c r="D315" s="123"/>
      <c r="F315" s="123"/>
      <c r="H315" s="123"/>
      <c r="J315" s="123"/>
      <c r="L315" s="123"/>
      <c r="N315" s="123"/>
    </row>
    <row r="316" ht="15.75" hidden="1" customHeight="1">
      <c r="B316" s="123"/>
      <c r="D316" s="123"/>
      <c r="F316" s="123"/>
      <c r="H316" s="123"/>
      <c r="J316" s="123"/>
      <c r="L316" s="123"/>
      <c r="N316" s="123"/>
    </row>
    <row r="317" ht="15.75" hidden="1" customHeight="1">
      <c r="B317" s="123"/>
      <c r="D317" s="123"/>
      <c r="F317" s="123"/>
      <c r="H317" s="123"/>
      <c r="J317" s="123"/>
      <c r="L317" s="123"/>
      <c r="N317" s="123"/>
    </row>
    <row r="318" ht="15.75" hidden="1" customHeight="1">
      <c r="B318" s="123"/>
      <c r="D318" s="123"/>
      <c r="F318" s="123"/>
      <c r="H318" s="123"/>
      <c r="J318" s="123"/>
      <c r="L318" s="123"/>
      <c r="N318" s="123"/>
    </row>
    <row r="319" ht="15.75" hidden="1" customHeight="1">
      <c r="B319" s="123"/>
      <c r="D319" s="123"/>
      <c r="F319" s="123"/>
      <c r="H319" s="123"/>
      <c r="J319" s="123"/>
      <c r="L319" s="123"/>
      <c r="N319" s="123"/>
    </row>
    <row r="320" ht="15.75" hidden="1" customHeight="1">
      <c r="B320" s="123"/>
      <c r="D320" s="123"/>
      <c r="F320" s="123"/>
      <c r="H320" s="123"/>
      <c r="J320" s="123"/>
      <c r="L320" s="123"/>
      <c r="N320" s="123"/>
    </row>
    <row r="321" ht="15.75" hidden="1" customHeight="1">
      <c r="B321" s="123"/>
      <c r="D321" s="123"/>
      <c r="F321" s="123"/>
      <c r="H321" s="123"/>
      <c r="J321" s="123"/>
      <c r="L321" s="123"/>
      <c r="N321" s="123"/>
    </row>
    <row r="322" ht="15.75" hidden="1" customHeight="1">
      <c r="B322" s="123"/>
      <c r="D322" s="123"/>
      <c r="F322" s="123"/>
      <c r="H322" s="123"/>
      <c r="J322" s="123"/>
      <c r="L322" s="123"/>
      <c r="N322" s="123"/>
    </row>
    <row r="323" ht="15.75" hidden="1" customHeight="1">
      <c r="B323" s="123"/>
      <c r="D323" s="123"/>
      <c r="F323" s="123"/>
      <c r="H323" s="123"/>
      <c r="J323" s="123"/>
      <c r="L323" s="123"/>
      <c r="N323" s="123"/>
    </row>
    <row r="324" ht="15.75" hidden="1" customHeight="1">
      <c r="B324" s="123"/>
      <c r="D324" s="123"/>
      <c r="F324" s="123"/>
      <c r="H324" s="123"/>
      <c r="J324" s="123"/>
      <c r="L324" s="123"/>
      <c r="N324" s="123"/>
    </row>
    <row r="325" ht="15.75" hidden="1" customHeight="1">
      <c r="B325" s="123"/>
      <c r="D325" s="123"/>
      <c r="F325" s="123"/>
      <c r="H325" s="123"/>
      <c r="J325" s="123"/>
      <c r="L325" s="123"/>
      <c r="N325" s="123"/>
    </row>
    <row r="326" ht="15.75" hidden="1" customHeight="1">
      <c r="B326" s="123"/>
      <c r="D326" s="123"/>
      <c r="F326" s="123"/>
      <c r="H326" s="123"/>
      <c r="J326" s="123"/>
      <c r="L326" s="123"/>
      <c r="N326" s="123"/>
    </row>
    <row r="327" ht="15.75" hidden="1" customHeight="1">
      <c r="B327" s="123"/>
      <c r="D327" s="123"/>
      <c r="F327" s="123"/>
      <c r="H327" s="123"/>
      <c r="J327" s="123"/>
      <c r="L327" s="123"/>
      <c r="N327" s="123"/>
    </row>
    <row r="328" ht="15.75" hidden="1" customHeight="1">
      <c r="B328" s="123"/>
      <c r="D328" s="123"/>
      <c r="F328" s="123"/>
      <c r="H328" s="123"/>
      <c r="J328" s="123"/>
      <c r="L328" s="123"/>
      <c r="N328" s="123"/>
    </row>
    <row r="329" ht="15.75" hidden="1" customHeight="1">
      <c r="B329" s="123"/>
      <c r="D329" s="123"/>
      <c r="F329" s="123"/>
      <c r="H329" s="123"/>
      <c r="J329" s="123"/>
      <c r="L329" s="123"/>
      <c r="N329" s="123"/>
    </row>
    <row r="330" ht="15.75" hidden="1" customHeight="1">
      <c r="B330" s="123"/>
      <c r="D330" s="123"/>
      <c r="F330" s="123"/>
      <c r="H330" s="123"/>
      <c r="J330" s="123"/>
      <c r="L330" s="123"/>
      <c r="N330" s="123"/>
    </row>
    <row r="331" ht="15.75" hidden="1" customHeight="1">
      <c r="B331" s="123"/>
      <c r="D331" s="123"/>
      <c r="F331" s="123"/>
      <c r="H331" s="123"/>
      <c r="J331" s="123"/>
      <c r="L331" s="123"/>
      <c r="N331" s="123"/>
    </row>
    <row r="332" ht="15.75" hidden="1" customHeight="1">
      <c r="B332" s="123"/>
      <c r="D332" s="123"/>
      <c r="F332" s="123"/>
      <c r="H332" s="123"/>
      <c r="J332" s="123"/>
      <c r="L332" s="123"/>
      <c r="N332" s="123"/>
    </row>
    <row r="333" ht="15.75" hidden="1" customHeight="1">
      <c r="B333" s="123"/>
      <c r="D333" s="123"/>
      <c r="F333" s="123"/>
      <c r="H333" s="123"/>
      <c r="J333" s="123"/>
      <c r="L333" s="123"/>
      <c r="N333" s="123"/>
    </row>
    <row r="334" ht="15.75" hidden="1" customHeight="1">
      <c r="B334" s="123"/>
      <c r="D334" s="123"/>
      <c r="F334" s="123"/>
      <c r="H334" s="123"/>
      <c r="J334" s="123"/>
      <c r="L334" s="123"/>
      <c r="N334" s="123"/>
    </row>
    <row r="335" ht="15.75" hidden="1" customHeight="1">
      <c r="B335" s="123"/>
      <c r="D335" s="123"/>
      <c r="F335" s="123"/>
      <c r="H335" s="123"/>
      <c r="J335" s="123"/>
      <c r="L335" s="123"/>
      <c r="N335" s="123"/>
    </row>
    <row r="336" ht="15.75" hidden="1" customHeight="1">
      <c r="B336" s="123"/>
      <c r="D336" s="123"/>
      <c r="F336" s="123"/>
      <c r="H336" s="123"/>
      <c r="J336" s="123"/>
      <c r="L336" s="123"/>
      <c r="N336" s="123"/>
    </row>
    <row r="337" ht="15.75" hidden="1" customHeight="1">
      <c r="B337" s="123"/>
      <c r="D337" s="123"/>
      <c r="F337" s="123"/>
      <c r="H337" s="123"/>
      <c r="J337" s="123"/>
      <c r="L337" s="123"/>
      <c r="N337" s="123"/>
    </row>
    <row r="338" ht="15.75" hidden="1" customHeight="1">
      <c r="B338" s="123"/>
      <c r="D338" s="123"/>
      <c r="F338" s="123"/>
      <c r="H338" s="123"/>
      <c r="J338" s="123"/>
      <c r="L338" s="123"/>
      <c r="N338" s="123"/>
    </row>
    <row r="339" ht="15.75" hidden="1" customHeight="1">
      <c r="B339" s="123"/>
      <c r="D339" s="123"/>
      <c r="F339" s="123"/>
      <c r="H339" s="123"/>
      <c r="J339" s="123"/>
      <c r="L339" s="123"/>
      <c r="N339" s="123"/>
    </row>
    <row r="340" ht="15.75" hidden="1" customHeight="1">
      <c r="B340" s="123"/>
      <c r="D340" s="123"/>
      <c r="F340" s="123"/>
      <c r="H340" s="123"/>
      <c r="J340" s="123"/>
      <c r="L340" s="123"/>
      <c r="N340" s="123"/>
    </row>
    <row r="341" ht="15.75" hidden="1" customHeight="1">
      <c r="B341" s="123"/>
      <c r="D341" s="123"/>
      <c r="F341" s="123"/>
      <c r="H341" s="123"/>
      <c r="J341" s="123"/>
      <c r="L341" s="123"/>
      <c r="N341" s="123"/>
    </row>
    <row r="342" ht="15.75" hidden="1" customHeight="1">
      <c r="B342" s="123"/>
      <c r="D342" s="123"/>
      <c r="F342" s="123"/>
      <c r="H342" s="123"/>
      <c r="J342" s="123"/>
      <c r="L342" s="123"/>
      <c r="N342" s="123"/>
    </row>
    <row r="343" ht="15.75" hidden="1" customHeight="1">
      <c r="B343" s="123"/>
      <c r="D343" s="123"/>
      <c r="F343" s="123"/>
      <c r="H343" s="123"/>
      <c r="J343" s="123"/>
      <c r="L343" s="123"/>
      <c r="N343" s="123"/>
    </row>
    <row r="344" ht="15.75" hidden="1" customHeight="1">
      <c r="B344" s="123"/>
      <c r="D344" s="123"/>
      <c r="F344" s="123"/>
      <c r="H344" s="123"/>
      <c r="J344" s="123"/>
      <c r="L344" s="123"/>
      <c r="N344" s="123"/>
    </row>
    <row r="345" ht="15.75" hidden="1" customHeight="1">
      <c r="B345" s="123"/>
      <c r="D345" s="123"/>
      <c r="F345" s="123"/>
      <c r="H345" s="123"/>
      <c r="J345" s="123"/>
      <c r="L345" s="123"/>
      <c r="N345" s="123"/>
    </row>
    <row r="346" ht="15.75" hidden="1" customHeight="1">
      <c r="B346" s="123"/>
      <c r="D346" s="123"/>
      <c r="F346" s="123"/>
      <c r="H346" s="123"/>
      <c r="J346" s="123"/>
      <c r="L346" s="123"/>
      <c r="N346" s="123"/>
    </row>
    <row r="347" ht="15.75" hidden="1" customHeight="1">
      <c r="B347" s="123"/>
      <c r="D347" s="123"/>
      <c r="F347" s="123"/>
      <c r="H347" s="123"/>
      <c r="J347" s="123"/>
      <c r="L347" s="123"/>
      <c r="N347" s="123"/>
    </row>
    <row r="348" ht="15.75" hidden="1" customHeight="1">
      <c r="B348" s="123"/>
      <c r="D348" s="123"/>
      <c r="F348" s="123"/>
      <c r="H348" s="123"/>
      <c r="J348" s="123"/>
      <c r="L348" s="123"/>
      <c r="N348" s="123"/>
    </row>
    <row r="349" ht="15.75" hidden="1" customHeight="1">
      <c r="B349" s="123"/>
      <c r="D349" s="123"/>
      <c r="F349" s="123"/>
      <c r="H349" s="123"/>
      <c r="J349" s="123"/>
      <c r="L349" s="123"/>
      <c r="N349" s="123"/>
    </row>
    <row r="350" ht="15.75" hidden="1" customHeight="1">
      <c r="B350" s="123"/>
      <c r="D350" s="123"/>
      <c r="F350" s="123"/>
      <c r="H350" s="123"/>
      <c r="J350" s="123"/>
      <c r="L350" s="123"/>
      <c r="N350" s="123"/>
    </row>
    <row r="351" ht="15.75" hidden="1" customHeight="1">
      <c r="B351" s="123"/>
      <c r="D351" s="123"/>
      <c r="F351" s="123"/>
      <c r="H351" s="123"/>
      <c r="J351" s="123"/>
      <c r="L351" s="123"/>
      <c r="N351" s="123"/>
    </row>
    <row r="352" ht="15.75" hidden="1" customHeight="1">
      <c r="B352" s="123"/>
      <c r="D352" s="123"/>
      <c r="F352" s="123"/>
      <c r="H352" s="123"/>
      <c r="J352" s="123"/>
      <c r="L352" s="123"/>
      <c r="N352" s="123"/>
    </row>
    <row r="353" ht="15.75" hidden="1" customHeight="1">
      <c r="B353" s="123"/>
      <c r="D353" s="123"/>
      <c r="F353" s="123"/>
      <c r="H353" s="123"/>
      <c r="J353" s="123"/>
      <c r="L353" s="123"/>
      <c r="N353" s="123"/>
    </row>
    <row r="354" ht="15.75" hidden="1" customHeight="1">
      <c r="B354" s="123"/>
      <c r="D354" s="123"/>
      <c r="F354" s="123"/>
      <c r="H354" s="123"/>
      <c r="J354" s="123"/>
      <c r="L354" s="123"/>
      <c r="N354" s="123"/>
    </row>
    <row r="355" ht="15.75" hidden="1" customHeight="1">
      <c r="B355" s="123"/>
      <c r="D355" s="123"/>
      <c r="F355" s="123"/>
      <c r="H355" s="123"/>
      <c r="J355" s="123"/>
      <c r="L355" s="123"/>
      <c r="N355" s="123"/>
    </row>
    <row r="356" ht="15.75" hidden="1" customHeight="1">
      <c r="B356" s="123"/>
      <c r="D356" s="123"/>
      <c r="F356" s="123"/>
      <c r="H356" s="123"/>
      <c r="J356" s="123"/>
      <c r="L356" s="123"/>
      <c r="N356" s="123"/>
    </row>
    <row r="357" ht="15.75" hidden="1" customHeight="1">
      <c r="B357" s="123"/>
      <c r="D357" s="123"/>
      <c r="F357" s="123"/>
      <c r="H357" s="123"/>
      <c r="J357" s="123"/>
      <c r="L357" s="123"/>
      <c r="N357" s="123"/>
    </row>
    <row r="358" ht="15.75" hidden="1" customHeight="1">
      <c r="B358" s="123"/>
      <c r="D358" s="123"/>
      <c r="F358" s="123"/>
      <c r="H358" s="123"/>
      <c r="J358" s="123"/>
      <c r="L358" s="123"/>
      <c r="N358" s="123"/>
    </row>
    <row r="359" ht="15.75" hidden="1" customHeight="1">
      <c r="B359" s="123"/>
      <c r="D359" s="123"/>
      <c r="F359" s="123"/>
      <c r="H359" s="123"/>
      <c r="J359" s="123"/>
      <c r="L359" s="123"/>
      <c r="N359" s="123"/>
    </row>
    <row r="360" ht="15.75" hidden="1" customHeight="1">
      <c r="B360" s="123"/>
      <c r="D360" s="123"/>
      <c r="F360" s="123"/>
      <c r="H360" s="123"/>
      <c r="J360" s="123"/>
      <c r="L360" s="123"/>
      <c r="N360" s="123"/>
    </row>
    <row r="361" ht="15.75" hidden="1" customHeight="1">
      <c r="B361" s="123"/>
      <c r="D361" s="123"/>
      <c r="F361" s="123"/>
      <c r="H361" s="123"/>
      <c r="J361" s="123"/>
      <c r="L361" s="123"/>
      <c r="N361" s="123"/>
    </row>
    <row r="362" ht="15.75" hidden="1" customHeight="1">
      <c r="B362" s="123"/>
      <c r="D362" s="123"/>
      <c r="F362" s="123"/>
      <c r="H362" s="123"/>
      <c r="J362" s="123"/>
      <c r="L362" s="123"/>
      <c r="N362" s="123"/>
    </row>
    <row r="363" ht="15.75" hidden="1" customHeight="1">
      <c r="B363" s="123"/>
      <c r="D363" s="123"/>
      <c r="F363" s="123"/>
      <c r="H363" s="123"/>
      <c r="J363" s="123"/>
      <c r="L363" s="123"/>
      <c r="N363" s="123"/>
    </row>
    <row r="364" ht="15.75" hidden="1" customHeight="1">
      <c r="B364" s="123"/>
      <c r="D364" s="123"/>
      <c r="F364" s="123"/>
      <c r="H364" s="123"/>
      <c r="J364" s="123"/>
      <c r="L364" s="123"/>
      <c r="N364" s="123"/>
    </row>
    <row r="365" ht="15.75" hidden="1" customHeight="1">
      <c r="B365" s="123"/>
      <c r="D365" s="123"/>
      <c r="F365" s="123"/>
      <c r="H365" s="123"/>
      <c r="J365" s="123"/>
      <c r="L365" s="123"/>
      <c r="N365" s="123"/>
    </row>
    <row r="366" ht="15.75" hidden="1" customHeight="1">
      <c r="B366" s="123"/>
      <c r="D366" s="123"/>
      <c r="F366" s="123"/>
      <c r="H366" s="123"/>
      <c r="J366" s="123"/>
      <c r="L366" s="123"/>
      <c r="N366" s="123"/>
    </row>
    <row r="367" ht="15.75" hidden="1" customHeight="1">
      <c r="B367" s="123"/>
      <c r="D367" s="123"/>
      <c r="F367" s="123"/>
      <c r="H367" s="123"/>
      <c r="J367" s="123"/>
      <c r="L367" s="123"/>
      <c r="N367" s="123"/>
    </row>
    <row r="368" ht="15.75" hidden="1" customHeight="1">
      <c r="B368" s="123"/>
      <c r="D368" s="123"/>
      <c r="F368" s="123"/>
      <c r="H368" s="123"/>
      <c r="J368" s="123"/>
      <c r="L368" s="123"/>
      <c r="N368" s="123"/>
    </row>
    <row r="369" ht="15.75" hidden="1" customHeight="1">
      <c r="B369" s="123"/>
      <c r="D369" s="123"/>
      <c r="F369" s="123"/>
      <c r="H369" s="123"/>
      <c r="J369" s="123"/>
      <c r="L369" s="123"/>
      <c r="N369" s="123"/>
    </row>
    <row r="370" ht="15.75" hidden="1" customHeight="1">
      <c r="B370" s="123"/>
      <c r="D370" s="123"/>
      <c r="F370" s="123"/>
      <c r="H370" s="123"/>
      <c r="J370" s="123"/>
      <c r="L370" s="123"/>
      <c r="N370" s="123"/>
    </row>
    <row r="371" ht="15.75" hidden="1" customHeight="1">
      <c r="B371" s="123"/>
      <c r="D371" s="123"/>
      <c r="F371" s="123"/>
      <c r="H371" s="123"/>
      <c r="J371" s="123"/>
      <c r="L371" s="123"/>
      <c r="N371" s="123"/>
    </row>
    <row r="372" ht="15.75" hidden="1" customHeight="1">
      <c r="B372" s="123"/>
      <c r="D372" s="123"/>
      <c r="F372" s="123"/>
      <c r="H372" s="123"/>
      <c r="J372" s="123"/>
      <c r="L372" s="123"/>
      <c r="N372" s="123"/>
    </row>
    <row r="373" ht="15.75" hidden="1" customHeight="1">
      <c r="B373" s="123"/>
      <c r="D373" s="123"/>
      <c r="F373" s="123"/>
      <c r="H373" s="123"/>
      <c r="J373" s="123"/>
      <c r="L373" s="123"/>
      <c r="N373" s="123"/>
    </row>
    <row r="374" ht="15.75" hidden="1" customHeight="1">
      <c r="B374" s="123"/>
      <c r="D374" s="123"/>
      <c r="F374" s="123"/>
      <c r="H374" s="123"/>
      <c r="J374" s="123"/>
      <c r="L374" s="123"/>
      <c r="N374" s="123"/>
    </row>
    <row r="375" ht="15.75" hidden="1" customHeight="1">
      <c r="B375" s="123"/>
      <c r="D375" s="123"/>
      <c r="F375" s="123"/>
      <c r="H375" s="123"/>
      <c r="J375" s="123"/>
      <c r="L375" s="123"/>
      <c r="N375" s="123"/>
    </row>
    <row r="376" ht="15.75" hidden="1" customHeight="1">
      <c r="B376" s="123"/>
      <c r="D376" s="123"/>
      <c r="F376" s="123"/>
      <c r="H376" s="123"/>
      <c r="J376" s="123"/>
      <c r="L376" s="123"/>
      <c r="N376" s="123"/>
    </row>
    <row r="377" ht="15.75" hidden="1" customHeight="1">
      <c r="B377" s="123"/>
      <c r="D377" s="123"/>
      <c r="F377" s="123"/>
      <c r="H377" s="123"/>
      <c r="J377" s="123"/>
      <c r="L377" s="123"/>
      <c r="N377" s="123"/>
    </row>
    <row r="378" ht="15.75" hidden="1" customHeight="1">
      <c r="B378" s="123"/>
      <c r="D378" s="123"/>
      <c r="F378" s="123"/>
      <c r="H378" s="123"/>
      <c r="J378" s="123"/>
      <c r="L378" s="123"/>
      <c r="N378" s="123"/>
    </row>
    <row r="379" ht="15.75" hidden="1" customHeight="1">
      <c r="B379" s="123"/>
      <c r="D379" s="123"/>
      <c r="F379" s="123"/>
      <c r="H379" s="123"/>
      <c r="J379" s="123"/>
      <c r="L379" s="123"/>
      <c r="N379" s="123"/>
    </row>
    <row r="380" ht="15.75" hidden="1" customHeight="1">
      <c r="B380" s="123"/>
      <c r="D380" s="123"/>
      <c r="F380" s="123"/>
      <c r="H380" s="123"/>
      <c r="J380" s="123"/>
      <c r="L380" s="123"/>
      <c r="N380" s="123"/>
    </row>
    <row r="381" ht="15.75" hidden="1" customHeight="1">
      <c r="B381" s="123"/>
      <c r="D381" s="123"/>
      <c r="F381" s="123"/>
      <c r="H381" s="123"/>
      <c r="J381" s="123"/>
      <c r="L381" s="123"/>
      <c r="N381" s="123"/>
    </row>
    <row r="382" ht="15.75" hidden="1" customHeight="1">
      <c r="B382" s="123"/>
      <c r="D382" s="123"/>
      <c r="F382" s="123"/>
      <c r="H382" s="123"/>
      <c r="J382" s="123"/>
      <c r="L382" s="123"/>
      <c r="N382" s="123"/>
    </row>
    <row r="383" ht="15.75" hidden="1" customHeight="1">
      <c r="B383" s="123"/>
      <c r="D383" s="123"/>
      <c r="F383" s="123"/>
      <c r="H383" s="123"/>
      <c r="J383" s="123"/>
      <c r="L383" s="123"/>
      <c r="N383" s="123"/>
    </row>
    <row r="384" ht="15.75" hidden="1" customHeight="1">
      <c r="B384" s="123"/>
      <c r="D384" s="123"/>
      <c r="F384" s="123"/>
      <c r="H384" s="123"/>
      <c r="J384" s="123"/>
      <c r="L384" s="123"/>
      <c r="N384" s="123"/>
    </row>
    <row r="385" ht="15.75" hidden="1" customHeight="1">
      <c r="B385" s="123"/>
      <c r="D385" s="123"/>
      <c r="F385" s="123"/>
      <c r="H385" s="123"/>
      <c r="J385" s="123"/>
      <c r="L385" s="123"/>
      <c r="N385" s="123"/>
    </row>
    <row r="386" ht="15.75" hidden="1" customHeight="1">
      <c r="B386" s="123"/>
      <c r="D386" s="123"/>
      <c r="F386" s="123"/>
      <c r="H386" s="123"/>
      <c r="J386" s="123"/>
      <c r="L386" s="123"/>
      <c r="N386" s="123"/>
    </row>
    <row r="387" ht="15.75" hidden="1" customHeight="1">
      <c r="B387" s="123"/>
      <c r="D387" s="123"/>
      <c r="F387" s="123"/>
      <c r="H387" s="123"/>
      <c r="J387" s="123"/>
      <c r="L387" s="123"/>
      <c r="N387" s="123"/>
    </row>
    <row r="388" ht="15.75" hidden="1" customHeight="1">
      <c r="B388" s="123"/>
      <c r="D388" s="123"/>
      <c r="F388" s="123"/>
      <c r="H388" s="123"/>
      <c r="J388" s="123"/>
      <c r="L388" s="123"/>
      <c r="N388" s="123"/>
    </row>
    <row r="389" ht="15.75" hidden="1" customHeight="1">
      <c r="B389" s="123"/>
      <c r="D389" s="123"/>
      <c r="F389" s="123"/>
      <c r="H389" s="123"/>
      <c r="J389" s="123"/>
      <c r="L389" s="123"/>
      <c r="N389" s="123"/>
    </row>
    <row r="390" ht="15.75" hidden="1" customHeight="1">
      <c r="B390" s="123"/>
      <c r="D390" s="123"/>
      <c r="F390" s="123"/>
      <c r="H390" s="123"/>
      <c r="J390" s="123"/>
      <c r="L390" s="123"/>
      <c r="N390" s="123"/>
    </row>
    <row r="391" ht="15.75" hidden="1" customHeight="1">
      <c r="B391" s="123"/>
      <c r="D391" s="123"/>
      <c r="F391" s="123"/>
      <c r="H391" s="123"/>
      <c r="J391" s="123"/>
      <c r="L391" s="123"/>
      <c r="N391" s="123"/>
    </row>
    <row r="392" ht="15.75" hidden="1" customHeight="1">
      <c r="B392" s="123"/>
      <c r="D392" s="123"/>
      <c r="F392" s="123"/>
      <c r="H392" s="123"/>
      <c r="J392" s="123"/>
      <c r="L392" s="123"/>
      <c r="N392" s="123"/>
    </row>
    <row r="393" ht="15.75" hidden="1" customHeight="1">
      <c r="B393" s="123"/>
      <c r="D393" s="123"/>
      <c r="F393" s="123"/>
      <c r="H393" s="123"/>
      <c r="J393" s="123"/>
      <c r="L393" s="123"/>
      <c r="N393" s="123"/>
    </row>
    <row r="394" ht="15.75" hidden="1" customHeight="1">
      <c r="B394" s="123"/>
      <c r="D394" s="123"/>
      <c r="F394" s="123"/>
      <c r="H394" s="123"/>
      <c r="J394" s="123"/>
      <c r="L394" s="123"/>
      <c r="N394" s="123"/>
    </row>
    <row r="395" ht="15.75" hidden="1" customHeight="1">
      <c r="B395" s="123"/>
      <c r="D395" s="123"/>
      <c r="F395" s="123"/>
      <c r="H395" s="123"/>
      <c r="J395" s="123"/>
      <c r="L395" s="123"/>
      <c r="N395" s="123"/>
    </row>
    <row r="396" ht="15.75" hidden="1" customHeight="1">
      <c r="B396" s="123"/>
      <c r="D396" s="123"/>
      <c r="F396" s="123"/>
      <c r="H396" s="123"/>
      <c r="J396" s="123"/>
      <c r="L396" s="123"/>
      <c r="N396" s="123"/>
    </row>
    <row r="397" ht="15.75" hidden="1" customHeight="1">
      <c r="B397" s="123"/>
      <c r="D397" s="123"/>
      <c r="F397" s="123"/>
      <c r="H397" s="123"/>
      <c r="J397" s="123"/>
      <c r="L397" s="123"/>
      <c r="N397" s="123"/>
    </row>
    <row r="398" ht="15.75" hidden="1" customHeight="1">
      <c r="B398" s="123"/>
      <c r="D398" s="123"/>
      <c r="F398" s="123"/>
      <c r="H398" s="123"/>
      <c r="J398" s="123"/>
      <c r="L398" s="123"/>
      <c r="N398" s="123"/>
    </row>
    <row r="399" ht="15.75" hidden="1" customHeight="1">
      <c r="B399" s="123"/>
      <c r="D399" s="123"/>
      <c r="F399" s="123"/>
      <c r="H399" s="123"/>
      <c r="J399" s="123"/>
      <c r="L399" s="123"/>
      <c r="N399" s="123"/>
    </row>
    <row r="400" ht="15.75" hidden="1" customHeight="1">
      <c r="B400" s="123"/>
      <c r="D400" s="123"/>
      <c r="F400" s="123"/>
      <c r="H400" s="123"/>
      <c r="J400" s="123"/>
      <c r="L400" s="123"/>
      <c r="N400" s="123"/>
    </row>
    <row r="401" ht="15.75" hidden="1" customHeight="1">
      <c r="B401" s="123"/>
      <c r="D401" s="123"/>
      <c r="F401" s="123"/>
      <c r="H401" s="123"/>
      <c r="J401" s="123"/>
      <c r="L401" s="123"/>
      <c r="N401" s="123"/>
    </row>
    <row r="402" ht="15.75" hidden="1" customHeight="1">
      <c r="B402" s="123"/>
      <c r="D402" s="123"/>
      <c r="F402" s="123"/>
      <c r="H402" s="123"/>
      <c r="J402" s="123"/>
      <c r="L402" s="123"/>
      <c r="N402" s="123"/>
    </row>
    <row r="403" ht="15.75" hidden="1" customHeight="1">
      <c r="B403" s="123"/>
      <c r="D403" s="123"/>
      <c r="F403" s="123"/>
      <c r="H403" s="123"/>
      <c r="J403" s="123"/>
      <c r="L403" s="123"/>
      <c r="N403" s="123"/>
    </row>
    <row r="404" ht="15.75" hidden="1" customHeight="1">
      <c r="B404" s="123"/>
      <c r="D404" s="123"/>
      <c r="F404" s="123"/>
      <c r="H404" s="123"/>
      <c r="J404" s="123"/>
      <c r="L404" s="123"/>
      <c r="N404" s="123"/>
    </row>
    <row r="405" ht="15.75" hidden="1" customHeight="1">
      <c r="B405" s="123"/>
      <c r="D405" s="123"/>
      <c r="F405" s="123"/>
      <c r="H405" s="123"/>
      <c r="J405" s="123"/>
      <c r="L405" s="123"/>
      <c r="N405" s="123"/>
    </row>
    <row r="406" ht="15.75" hidden="1" customHeight="1">
      <c r="B406" s="123"/>
      <c r="D406" s="123"/>
      <c r="F406" s="123"/>
      <c r="H406" s="123"/>
      <c r="J406" s="123"/>
      <c r="L406" s="123"/>
      <c r="N406" s="123"/>
    </row>
    <row r="407" ht="15.75" hidden="1" customHeight="1">
      <c r="B407" s="123"/>
      <c r="D407" s="123"/>
      <c r="F407" s="123"/>
      <c r="H407" s="123"/>
      <c r="J407" s="123"/>
      <c r="L407" s="123"/>
      <c r="N407" s="123"/>
    </row>
    <row r="408" ht="15.75" hidden="1" customHeight="1">
      <c r="B408" s="123"/>
      <c r="D408" s="123"/>
      <c r="F408" s="123"/>
      <c r="H408" s="123"/>
      <c r="J408" s="123"/>
      <c r="L408" s="123"/>
      <c r="N408" s="123"/>
    </row>
    <row r="409" ht="15.75" hidden="1" customHeight="1">
      <c r="B409" s="123"/>
      <c r="D409" s="123"/>
      <c r="F409" s="123"/>
      <c r="H409" s="123"/>
      <c r="J409" s="123"/>
      <c r="L409" s="123"/>
      <c r="N409" s="123"/>
    </row>
    <row r="410" ht="15.75" hidden="1" customHeight="1">
      <c r="B410" s="123"/>
      <c r="D410" s="123"/>
      <c r="F410" s="123"/>
      <c r="H410" s="123"/>
      <c r="J410" s="123"/>
      <c r="L410" s="123"/>
      <c r="N410" s="123"/>
    </row>
    <row r="411" ht="15.75" hidden="1" customHeight="1">
      <c r="B411" s="123"/>
      <c r="D411" s="123"/>
      <c r="F411" s="123"/>
      <c r="H411" s="123"/>
      <c r="J411" s="123"/>
      <c r="L411" s="123"/>
      <c r="N411" s="123"/>
    </row>
    <row r="412" ht="15.75" hidden="1" customHeight="1">
      <c r="B412" s="123"/>
      <c r="D412" s="123"/>
      <c r="F412" s="123"/>
      <c r="H412" s="123"/>
      <c r="J412" s="123"/>
      <c r="L412" s="123"/>
      <c r="N412" s="123"/>
    </row>
    <row r="413" ht="15.75" hidden="1" customHeight="1">
      <c r="B413" s="123"/>
      <c r="D413" s="123"/>
      <c r="F413" s="123"/>
      <c r="H413" s="123"/>
      <c r="J413" s="123"/>
      <c r="L413" s="123"/>
      <c r="N413" s="123"/>
    </row>
    <row r="414" ht="15.75" hidden="1" customHeight="1">
      <c r="B414" s="123"/>
      <c r="D414" s="123"/>
      <c r="F414" s="123"/>
      <c r="H414" s="123"/>
      <c r="J414" s="123"/>
      <c r="L414" s="123"/>
      <c r="N414" s="123"/>
    </row>
    <row r="415" ht="15.75" hidden="1" customHeight="1">
      <c r="B415" s="123"/>
      <c r="D415" s="123"/>
      <c r="F415" s="123"/>
      <c r="H415" s="123"/>
      <c r="J415" s="123"/>
      <c r="L415" s="123"/>
      <c r="N415" s="123"/>
    </row>
    <row r="416" ht="15.75" hidden="1" customHeight="1">
      <c r="B416" s="123"/>
      <c r="D416" s="123"/>
      <c r="F416" s="123"/>
      <c r="H416" s="123"/>
      <c r="J416" s="123"/>
      <c r="L416" s="123"/>
      <c r="N416" s="123"/>
    </row>
    <row r="417" ht="15.75" hidden="1" customHeight="1">
      <c r="B417" s="123"/>
      <c r="D417" s="123"/>
      <c r="F417" s="123"/>
      <c r="H417" s="123"/>
      <c r="J417" s="123"/>
      <c r="L417" s="123"/>
      <c r="N417" s="123"/>
    </row>
    <row r="418" ht="15.75" hidden="1" customHeight="1">
      <c r="B418" s="123"/>
      <c r="D418" s="123"/>
      <c r="F418" s="123"/>
      <c r="H418" s="123"/>
      <c r="J418" s="123"/>
      <c r="L418" s="123"/>
      <c r="N418" s="123"/>
    </row>
    <row r="419" ht="15.75" hidden="1" customHeight="1">
      <c r="B419" s="123"/>
      <c r="D419" s="123"/>
      <c r="F419" s="123"/>
      <c r="H419" s="123"/>
      <c r="J419" s="123"/>
      <c r="L419" s="123"/>
      <c r="N419" s="123"/>
    </row>
    <row r="420" ht="15.75" hidden="1" customHeight="1">
      <c r="B420" s="123"/>
      <c r="D420" s="123"/>
      <c r="F420" s="123"/>
      <c r="H420" s="123"/>
      <c r="J420" s="123"/>
      <c r="L420" s="123"/>
      <c r="N420" s="123"/>
    </row>
    <row r="421" ht="15.75" hidden="1" customHeight="1">
      <c r="B421" s="123"/>
      <c r="D421" s="123"/>
      <c r="F421" s="123"/>
      <c r="H421" s="123"/>
      <c r="J421" s="123"/>
      <c r="L421" s="123"/>
      <c r="N421" s="123"/>
    </row>
    <row r="422" ht="15.75" hidden="1" customHeight="1">
      <c r="B422" s="123"/>
      <c r="D422" s="123"/>
      <c r="F422" s="123"/>
      <c r="H422" s="123"/>
      <c r="J422" s="123"/>
      <c r="L422" s="123"/>
      <c r="N422" s="123"/>
    </row>
    <row r="423" ht="15.75" hidden="1" customHeight="1">
      <c r="B423" s="123"/>
      <c r="D423" s="123"/>
      <c r="F423" s="123"/>
      <c r="H423" s="123"/>
      <c r="J423" s="123"/>
      <c r="L423" s="123"/>
      <c r="N423" s="123"/>
    </row>
    <row r="424" ht="15.75" hidden="1" customHeight="1">
      <c r="B424" s="123"/>
      <c r="D424" s="123"/>
      <c r="F424" s="123"/>
      <c r="H424" s="123"/>
      <c r="J424" s="123"/>
      <c r="L424" s="123"/>
      <c r="N424" s="123"/>
    </row>
    <row r="425" ht="15.75" hidden="1" customHeight="1">
      <c r="B425" s="123"/>
      <c r="D425" s="123"/>
      <c r="F425" s="123"/>
      <c r="H425" s="123"/>
      <c r="J425" s="123"/>
      <c r="L425" s="123"/>
      <c r="N425" s="123"/>
    </row>
    <row r="426" ht="15.75" hidden="1" customHeight="1">
      <c r="B426" s="123"/>
      <c r="D426" s="123"/>
      <c r="F426" s="123"/>
      <c r="H426" s="123"/>
      <c r="J426" s="123"/>
      <c r="L426" s="123"/>
      <c r="N426" s="123"/>
    </row>
    <row r="427" ht="15.75" hidden="1" customHeight="1">
      <c r="B427" s="123"/>
      <c r="D427" s="123"/>
      <c r="F427" s="123"/>
      <c r="H427" s="123"/>
      <c r="J427" s="123"/>
      <c r="L427" s="123"/>
      <c r="N427" s="123"/>
    </row>
    <row r="428" ht="15.75" hidden="1" customHeight="1">
      <c r="B428" s="123"/>
      <c r="D428" s="123"/>
      <c r="F428" s="123"/>
      <c r="H428" s="123"/>
      <c r="J428" s="123"/>
      <c r="L428" s="123"/>
      <c r="N428" s="123"/>
    </row>
    <row r="429" ht="15.75" hidden="1" customHeight="1">
      <c r="B429" s="123"/>
      <c r="D429" s="123"/>
      <c r="F429" s="123"/>
      <c r="H429" s="123"/>
      <c r="J429" s="123"/>
      <c r="L429" s="123"/>
      <c r="N429" s="123"/>
    </row>
    <row r="430" ht="15.75" hidden="1" customHeight="1">
      <c r="B430" s="123"/>
      <c r="D430" s="123"/>
      <c r="F430" s="123"/>
      <c r="H430" s="123"/>
      <c r="J430" s="123"/>
      <c r="L430" s="123"/>
      <c r="N430" s="123"/>
    </row>
    <row r="431" ht="15.75" hidden="1" customHeight="1">
      <c r="B431" s="123"/>
      <c r="D431" s="123"/>
      <c r="F431" s="123"/>
      <c r="H431" s="123"/>
      <c r="J431" s="123"/>
      <c r="L431" s="123"/>
      <c r="N431" s="123"/>
    </row>
    <row r="432" ht="15.75" hidden="1" customHeight="1">
      <c r="B432" s="123"/>
      <c r="D432" s="123"/>
      <c r="F432" s="123"/>
      <c r="H432" s="123"/>
      <c r="J432" s="123"/>
      <c r="L432" s="123"/>
      <c r="N432" s="123"/>
    </row>
    <row r="433" ht="15.75" hidden="1" customHeight="1">
      <c r="B433" s="123"/>
      <c r="D433" s="123"/>
      <c r="F433" s="123"/>
      <c r="H433" s="123"/>
      <c r="J433" s="123"/>
      <c r="L433" s="123"/>
      <c r="N433" s="123"/>
    </row>
    <row r="434" ht="15.75" hidden="1" customHeight="1">
      <c r="B434" s="123"/>
      <c r="D434" s="123"/>
      <c r="F434" s="123"/>
      <c r="H434" s="123"/>
      <c r="J434" s="123"/>
      <c r="L434" s="123"/>
      <c r="N434" s="123"/>
    </row>
    <row r="435" ht="15.75" hidden="1" customHeight="1">
      <c r="B435" s="123"/>
      <c r="D435" s="123"/>
      <c r="F435" s="123"/>
      <c r="H435" s="123"/>
      <c r="J435" s="123"/>
      <c r="L435" s="123"/>
      <c r="N435" s="123"/>
    </row>
    <row r="436" ht="15.75" hidden="1" customHeight="1">
      <c r="B436" s="123"/>
      <c r="D436" s="123"/>
      <c r="F436" s="123"/>
      <c r="H436" s="123"/>
      <c r="J436" s="123"/>
      <c r="L436" s="123"/>
      <c r="N436" s="123"/>
    </row>
    <row r="437" ht="15.75" hidden="1" customHeight="1">
      <c r="B437" s="123"/>
      <c r="D437" s="123"/>
      <c r="F437" s="123"/>
      <c r="H437" s="123"/>
      <c r="J437" s="123"/>
      <c r="L437" s="123"/>
      <c r="N437" s="123"/>
    </row>
    <row r="438" ht="15.75" hidden="1" customHeight="1">
      <c r="B438" s="123"/>
      <c r="D438" s="123"/>
      <c r="F438" s="123"/>
      <c r="H438" s="123"/>
      <c r="J438" s="123"/>
      <c r="L438" s="123"/>
      <c r="N438" s="123"/>
    </row>
    <row r="439" ht="15.75" hidden="1" customHeight="1">
      <c r="B439" s="123"/>
      <c r="D439" s="123"/>
      <c r="F439" s="123"/>
      <c r="H439" s="123"/>
      <c r="J439" s="123"/>
      <c r="L439" s="123"/>
      <c r="N439" s="123"/>
    </row>
    <row r="440" ht="15.75" hidden="1" customHeight="1">
      <c r="B440" s="123"/>
      <c r="D440" s="123"/>
      <c r="F440" s="123"/>
      <c r="H440" s="123"/>
      <c r="J440" s="123"/>
      <c r="L440" s="123"/>
      <c r="N440" s="123"/>
    </row>
    <row r="441" ht="15.75" hidden="1" customHeight="1">
      <c r="B441" s="123"/>
      <c r="D441" s="123"/>
      <c r="F441" s="123"/>
      <c r="H441" s="123"/>
      <c r="J441" s="123"/>
      <c r="L441" s="123"/>
      <c r="N441" s="123"/>
    </row>
    <row r="442" ht="15.75" hidden="1" customHeight="1">
      <c r="B442" s="123"/>
      <c r="D442" s="123"/>
      <c r="F442" s="123"/>
      <c r="H442" s="123"/>
      <c r="J442" s="123"/>
      <c r="L442" s="123"/>
      <c r="N442" s="123"/>
    </row>
    <row r="443" ht="15.75" hidden="1" customHeight="1">
      <c r="B443" s="123"/>
      <c r="D443" s="123"/>
      <c r="F443" s="123"/>
      <c r="H443" s="123"/>
      <c r="J443" s="123"/>
      <c r="L443" s="123"/>
      <c r="N443" s="123"/>
    </row>
    <row r="444" ht="15.75" hidden="1" customHeight="1">
      <c r="B444" s="123"/>
      <c r="D444" s="123"/>
      <c r="F444" s="123"/>
      <c r="H444" s="123"/>
      <c r="J444" s="123"/>
      <c r="L444" s="123"/>
      <c r="N444" s="123"/>
    </row>
    <row r="445" ht="15.75" hidden="1" customHeight="1">
      <c r="B445" s="123"/>
      <c r="D445" s="123"/>
      <c r="F445" s="123"/>
      <c r="H445" s="123"/>
      <c r="J445" s="123"/>
      <c r="L445" s="123"/>
      <c r="N445" s="123"/>
    </row>
    <row r="446" ht="15.75" hidden="1" customHeight="1">
      <c r="B446" s="123"/>
      <c r="D446" s="123"/>
      <c r="F446" s="123"/>
      <c r="H446" s="123"/>
      <c r="J446" s="123"/>
      <c r="L446" s="123"/>
      <c r="N446" s="123"/>
    </row>
    <row r="447" ht="15.75" hidden="1" customHeight="1">
      <c r="B447" s="123"/>
      <c r="D447" s="123"/>
      <c r="F447" s="123"/>
      <c r="H447" s="123"/>
      <c r="J447" s="123"/>
      <c r="L447" s="123"/>
      <c r="N447" s="123"/>
    </row>
    <row r="448" ht="15.75" hidden="1" customHeight="1">
      <c r="B448" s="123"/>
      <c r="D448" s="123"/>
      <c r="F448" s="123"/>
      <c r="H448" s="123"/>
      <c r="J448" s="123"/>
      <c r="L448" s="123"/>
      <c r="N448" s="123"/>
    </row>
    <row r="449" ht="15.75" hidden="1" customHeight="1">
      <c r="B449" s="123"/>
      <c r="D449" s="123"/>
      <c r="F449" s="123"/>
      <c r="H449" s="123"/>
      <c r="J449" s="123"/>
      <c r="L449" s="123"/>
      <c r="N449" s="123"/>
    </row>
    <row r="450" ht="15.75" hidden="1" customHeight="1">
      <c r="B450" s="123"/>
      <c r="D450" s="123"/>
      <c r="F450" s="123"/>
      <c r="H450" s="123"/>
      <c r="J450" s="123"/>
      <c r="L450" s="123"/>
      <c r="N450" s="123"/>
    </row>
    <row r="451" ht="15.75" hidden="1" customHeight="1">
      <c r="B451" s="123"/>
      <c r="D451" s="123"/>
      <c r="F451" s="123"/>
      <c r="H451" s="123"/>
      <c r="J451" s="123"/>
      <c r="L451" s="123"/>
      <c r="N451" s="123"/>
    </row>
    <row r="452" ht="15.75" hidden="1" customHeight="1">
      <c r="B452" s="123"/>
      <c r="D452" s="123"/>
      <c r="F452" s="123"/>
      <c r="H452" s="123"/>
      <c r="J452" s="123"/>
      <c r="L452" s="123"/>
      <c r="N452" s="123"/>
    </row>
    <row r="453" ht="15.75" hidden="1" customHeight="1">
      <c r="B453" s="123"/>
      <c r="D453" s="123"/>
      <c r="F453" s="123"/>
      <c r="H453" s="123"/>
      <c r="J453" s="123"/>
      <c r="L453" s="123"/>
      <c r="N453" s="123"/>
    </row>
    <row r="454" ht="15.75" hidden="1" customHeight="1">
      <c r="B454" s="123"/>
      <c r="D454" s="123"/>
      <c r="F454" s="123"/>
      <c r="H454" s="123"/>
      <c r="J454" s="123"/>
      <c r="L454" s="123"/>
      <c r="N454" s="123"/>
    </row>
    <row r="455" ht="15.75" hidden="1" customHeight="1">
      <c r="B455" s="123"/>
      <c r="D455" s="123"/>
      <c r="F455" s="123"/>
      <c r="H455" s="123"/>
      <c r="J455" s="123"/>
      <c r="L455" s="123"/>
      <c r="N455" s="123"/>
    </row>
    <row r="456" ht="15.75" hidden="1" customHeight="1">
      <c r="B456" s="123"/>
      <c r="D456" s="123"/>
      <c r="F456" s="123"/>
      <c r="H456" s="123"/>
      <c r="J456" s="123"/>
      <c r="L456" s="123"/>
      <c r="N456" s="123"/>
    </row>
    <row r="457" ht="15.75" hidden="1" customHeight="1">
      <c r="B457" s="123"/>
      <c r="D457" s="123"/>
      <c r="F457" s="123"/>
      <c r="H457" s="123"/>
      <c r="J457" s="123"/>
      <c r="L457" s="123"/>
      <c r="N457" s="123"/>
    </row>
    <row r="458" ht="15.75" hidden="1" customHeight="1">
      <c r="B458" s="123"/>
      <c r="D458" s="123"/>
      <c r="F458" s="123"/>
      <c r="H458" s="123"/>
      <c r="J458" s="123"/>
      <c r="L458" s="123"/>
      <c r="N458" s="123"/>
    </row>
    <row r="459" ht="15.75" hidden="1" customHeight="1">
      <c r="B459" s="123"/>
      <c r="D459" s="123"/>
      <c r="F459" s="123"/>
      <c r="H459" s="123"/>
      <c r="J459" s="123"/>
      <c r="L459" s="123"/>
      <c r="N459" s="123"/>
    </row>
    <row r="460" ht="15.75" hidden="1" customHeight="1">
      <c r="B460" s="123"/>
      <c r="D460" s="123"/>
      <c r="F460" s="123"/>
      <c r="H460" s="123"/>
      <c r="J460" s="123"/>
      <c r="L460" s="123"/>
      <c r="N460" s="123"/>
    </row>
    <row r="461" ht="15.75" hidden="1" customHeight="1">
      <c r="B461" s="123"/>
      <c r="D461" s="123"/>
      <c r="F461" s="123"/>
      <c r="H461" s="123"/>
      <c r="J461" s="123"/>
      <c r="L461" s="123"/>
      <c r="N461" s="123"/>
    </row>
    <row r="462" ht="15.75" hidden="1" customHeight="1">
      <c r="B462" s="123"/>
      <c r="D462" s="123"/>
      <c r="F462" s="123"/>
      <c r="H462" s="123"/>
      <c r="J462" s="123"/>
      <c r="L462" s="123"/>
      <c r="N462" s="123"/>
    </row>
    <row r="463" ht="15.75" hidden="1" customHeight="1">
      <c r="B463" s="123"/>
      <c r="D463" s="123"/>
      <c r="F463" s="123"/>
      <c r="H463" s="123"/>
      <c r="J463" s="123"/>
      <c r="L463" s="123"/>
      <c r="N463" s="123"/>
    </row>
    <row r="464" ht="15.75" hidden="1" customHeight="1">
      <c r="B464" s="123"/>
      <c r="D464" s="123"/>
      <c r="F464" s="123"/>
      <c r="H464" s="123"/>
      <c r="J464" s="123"/>
      <c r="L464" s="123"/>
      <c r="N464" s="123"/>
    </row>
    <row r="465" ht="15.75" hidden="1" customHeight="1">
      <c r="B465" s="123"/>
      <c r="D465" s="123"/>
      <c r="F465" s="123"/>
      <c r="H465" s="123"/>
      <c r="J465" s="123"/>
      <c r="L465" s="123"/>
      <c r="N465" s="123"/>
    </row>
    <row r="466" ht="15.75" hidden="1" customHeight="1">
      <c r="B466" s="123"/>
      <c r="D466" s="123"/>
      <c r="F466" s="123"/>
      <c r="H466" s="123"/>
      <c r="J466" s="123"/>
      <c r="L466" s="123"/>
      <c r="N466" s="123"/>
    </row>
    <row r="467" ht="15.75" hidden="1" customHeight="1">
      <c r="B467" s="123"/>
      <c r="D467" s="123"/>
      <c r="F467" s="123"/>
      <c r="H467" s="123"/>
      <c r="J467" s="123"/>
      <c r="L467" s="123"/>
      <c r="N467" s="123"/>
    </row>
    <row r="468" ht="15.75" hidden="1" customHeight="1">
      <c r="B468" s="123"/>
      <c r="D468" s="123"/>
      <c r="F468" s="123"/>
      <c r="H468" s="123"/>
      <c r="J468" s="123"/>
      <c r="L468" s="123"/>
      <c r="N468" s="123"/>
    </row>
    <row r="469" ht="15.75" hidden="1" customHeight="1">
      <c r="B469" s="123"/>
      <c r="D469" s="123"/>
      <c r="F469" s="123"/>
      <c r="H469" s="123"/>
      <c r="J469" s="123"/>
      <c r="L469" s="123"/>
      <c r="N469" s="123"/>
    </row>
    <row r="470" ht="15.75" hidden="1" customHeight="1">
      <c r="B470" s="123"/>
      <c r="D470" s="123"/>
      <c r="F470" s="123"/>
      <c r="H470" s="123"/>
      <c r="J470" s="123"/>
      <c r="L470" s="123"/>
      <c r="N470" s="123"/>
    </row>
    <row r="471" ht="15.75" hidden="1" customHeight="1">
      <c r="B471" s="123"/>
      <c r="D471" s="123"/>
      <c r="F471" s="123"/>
      <c r="H471" s="123"/>
      <c r="J471" s="123"/>
      <c r="L471" s="123"/>
      <c r="N471" s="123"/>
    </row>
    <row r="472" ht="15.75" hidden="1" customHeight="1">
      <c r="B472" s="123"/>
      <c r="D472" s="123"/>
      <c r="F472" s="123"/>
      <c r="H472" s="123"/>
      <c r="J472" s="123"/>
      <c r="L472" s="123"/>
      <c r="N472" s="123"/>
    </row>
    <row r="473" ht="15.75" hidden="1" customHeight="1">
      <c r="B473" s="123"/>
      <c r="D473" s="123"/>
      <c r="F473" s="123"/>
      <c r="H473" s="123"/>
      <c r="J473" s="123"/>
      <c r="L473" s="123"/>
      <c r="N473" s="123"/>
    </row>
    <row r="474" ht="15.75" hidden="1" customHeight="1">
      <c r="B474" s="123"/>
      <c r="D474" s="123"/>
      <c r="F474" s="123"/>
      <c r="H474" s="123"/>
      <c r="J474" s="123"/>
      <c r="L474" s="123"/>
      <c r="N474" s="123"/>
    </row>
    <row r="475" ht="15.75" hidden="1" customHeight="1">
      <c r="B475" s="123"/>
      <c r="D475" s="123"/>
      <c r="F475" s="123"/>
      <c r="H475" s="123"/>
      <c r="J475" s="123"/>
      <c r="L475" s="123"/>
      <c r="N475" s="123"/>
    </row>
    <row r="476" ht="15.75" hidden="1" customHeight="1">
      <c r="B476" s="123"/>
      <c r="D476" s="123"/>
      <c r="F476" s="123"/>
      <c r="H476" s="123"/>
      <c r="J476" s="123"/>
      <c r="L476" s="123"/>
      <c r="N476" s="123"/>
    </row>
    <row r="477" ht="15.75" hidden="1" customHeight="1">
      <c r="B477" s="123"/>
      <c r="D477" s="123"/>
      <c r="F477" s="123"/>
      <c r="H477" s="123"/>
      <c r="J477" s="123"/>
      <c r="L477" s="123"/>
      <c r="N477" s="123"/>
    </row>
    <row r="478" ht="15.75" hidden="1" customHeight="1">
      <c r="B478" s="123"/>
      <c r="D478" s="123"/>
      <c r="F478" s="123"/>
      <c r="H478" s="123"/>
      <c r="J478" s="123"/>
      <c r="L478" s="123"/>
      <c r="N478" s="123"/>
    </row>
    <row r="479" ht="15.75" hidden="1" customHeight="1">
      <c r="B479" s="123"/>
      <c r="D479" s="123"/>
      <c r="F479" s="123"/>
      <c r="H479" s="123"/>
      <c r="J479" s="123"/>
      <c r="L479" s="123"/>
      <c r="N479" s="123"/>
    </row>
    <row r="480" ht="15.75" hidden="1" customHeight="1">
      <c r="B480" s="123"/>
      <c r="D480" s="123"/>
      <c r="F480" s="123"/>
      <c r="H480" s="123"/>
      <c r="J480" s="123"/>
      <c r="L480" s="123"/>
      <c r="N480" s="123"/>
    </row>
    <row r="481" ht="15.75" hidden="1" customHeight="1">
      <c r="B481" s="123"/>
      <c r="D481" s="123"/>
      <c r="F481" s="123"/>
      <c r="H481" s="123"/>
      <c r="J481" s="123"/>
      <c r="L481" s="123"/>
      <c r="N481" s="123"/>
    </row>
    <row r="482" ht="15.75" hidden="1" customHeight="1">
      <c r="B482" s="123"/>
      <c r="D482" s="123"/>
      <c r="F482" s="123"/>
      <c r="H482" s="123"/>
      <c r="J482" s="123"/>
      <c r="L482" s="123"/>
      <c r="N482" s="123"/>
    </row>
    <row r="483" ht="15.75" hidden="1" customHeight="1">
      <c r="B483" s="123"/>
      <c r="D483" s="123"/>
      <c r="F483" s="123"/>
      <c r="H483" s="123"/>
      <c r="J483" s="123"/>
      <c r="L483" s="123"/>
      <c r="N483" s="123"/>
    </row>
    <row r="484" ht="15.75" hidden="1" customHeight="1">
      <c r="B484" s="123"/>
      <c r="D484" s="123"/>
      <c r="F484" s="123"/>
      <c r="H484" s="123"/>
      <c r="J484" s="123"/>
      <c r="L484" s="123"/>
      <c r="N484" s="123"/>
    </row>
    <row r="485" ht="15.75" hidden="1" customHeight="1">
      <c r="B485" s="123"/>
      <c r="D485" s="123"/>
      <c r="F485" s="123"/>
      <c r="H485" s="123"/>
      <c r="J485" s="123"/>
      <c r="L485" s="123"/>
      <c r="N485" s="123"/>
    </row>
    <row r="486" ht="15.75" hidden="1" customHeight="1">
      <c r="B486" s="123"/>
      <c r="D486" s="123"/>
      <c r="F486" s="123"/>
      <c r="H486" s="123"/>
      <c r="J486" s="123"/>
      <c r="L486" s="123"/>
      <c r="N486" s="123"/>
    </row>
    <row r="487" ht="15.75" hidden="1" customHeight="1">
      <c r="B487" s="123"/>
      <c r="D487" s="123"/>
      <c r="F487" s="123"/>
      <c r="H487" s="123"/>
      <c r="J487" s="123"/>
      <c r="L487" s="123"/>
      <c r="N487" s="123"/>
    </row>
    <row r="488" ht="15.75" hidden="1" customHeight="1">
      <c r="B488" s="123"/>
      <c r="D488" s="123"/>
      <c r="F488" s="123"/>
      <c r="H488" s="123"/>
      <c r="J488" s="123"/>
      <c r="L488" s="123"/>
      <c r="N488" s="123"/>
    </row>
    <row r="489" ht="15.75" hidden="1" customHeight="1">
      <c r="B489" s="123"/>
      <c r="D489" s="123"/>
      <c r="F489" s="123"/>
      <c r="H489" s="123"/>
      <c r="J489" s="123"/>
      <c r="L489" s="123"/>
      <c r="N489" s="123"/>
    </row>
    <row r="490" ht="15.75" hidden="1" customHeight="1">
      <c r="B490" s="123"/>
      <c r="D490" s="123"/>
      <c r="F490" s="123"/>
      <c r="H490" s="123"/>
      <c r="J490" s="123"/>
      <c r="L490" s="123"/>
      <c r="N490" s="123"/>
    </row>
    <row r="491" ht="15.75" hidden="1" customHeight="1">
      <c r="B491" s="123"/>
      <c r="D491" s="123"/>
      <c r="F491" s="123"/>
      <c r="H491" s="123"/>
      <c r="J491" s="123"/>
      <c r="L491" s="123"/>
      <c r="N491" s="123"/>
    </row>
    <row r="492" ht="15.75" hidden="1" customHeight="1">
      <c r="B492" s="123"/>
      <c r="D492" s="123"/>
      <c r="F492" s="123"/>
      <c r="H492" s="123"/>
      <c r="J492" s="123"/>
      <c r="L492" s="123"/>
      <c r="N492" s="123"/>
    </row>
    <row r="493" ht="15.75" hidden="1" customHeight="1">
      <c r="B493" s="123"/>
      <c r="D493" s="123"/>
      <c r="F493" s="123"/>
      <c r="H493" s="123"/>
      <c r="J493" s="123"/>
      <c r="L493" s="123"/>
      <c r="N493" s="123"/>
    </row>
    <row r="494" ht="15.75" hidden="1" customHeight="1">
      <c r="B494" s="123"/>
      <c r="D494" s="123"/>
      <c r="F494" s="123"/>
      <c r="H494" s="123"/>
      <c r="J494" s="123"/>
      <c r="L494" s="123"/>
      <c r="N494" s="123"/>
    </row>
    <row r="495" ht="15.75" hidden="1" customHeight="1">
      <c r="B495" s="123"/>
      <c r="D495" s="123"/>
      <c r="F495" s="123"/>
      <c r="H495" s="123"/>
      <c r="J495" s="123"/>
      <c r="L495" s="123"/>
      <c r="N495" s="123"/>
    </row>
    <row r="496" ht="15.75" hidden="1" customHeight="1">
      <c r="B496" s="123"/>
      <c r="D496" s="123"/>
      <c r="F496" s="123"/>
      <c r="H496" s="123"/>
      <c r="J496" s="123"/>
      <c r="L496" s="123"/>
      <c r="N496" s="123"/>
    </row>
    <row r="497" ht="15.75" hidden="1" customHeight="1">
      <c r="B497" s="123"/>
      <c r="D497" s="123"/>
      <c r="F497" s="123"/>
      <c r="H497" s="123"/>
      <c r="J497" s="123"/>
      <c r="L497" s="123"/>
      <c r="N497" s="123"/>
    </row>
    <row r="498" ht="15.75" hidden="1" customHeight="1">
      <c r="B498" s="123"/>
      <c r="D498" s="123"/>
      <c r="F498" s="123"/>
      <c r="H498" s="123"/>
      <c r="J498" s="123"/>
      <c r="L498" s="123"/>
      <c r="N498" s="123"/>
    </row>
    <row r="499" ht="15.75" hidden="1" customHeight="1">
      <c r="B499" s="123"/>
      <c r="D499" s="123"/>
      <c r="F499" s="123"/>
      <c r="H499" s="123"/>
      <c r="J499" s="123"/>
      <c r="L499" s="123"/>
      <c r="N499" s="123"/>
    </row>
    <row r="500" ht="15.75" hidden="1" customHeight="1">
      <c r="B500" s="123"/>
      <c r="D500" s="123"/>
      <c r="F500" s="123"/>
      <c r="H500" s="123"/>
      <c r="J500" s="123"/>
      <c r="L500" s="123"/>
      <c r="N500" s="123"/>
    </row>
    <row r="501" ht="15.75" hidden="1" customHeight="1">
      <c r="B501" s="123"/>
      <c r="D501" s="123"/>
      <c r="F501" s="123"/>
      <c r="H501" s="123"/>
      <c r="J501" s="123"/>
      <c r="L501" s="123"/>
      <c r="N501" s="123"/>
    </row>
    <row r="502" ht="15.75" hidden="1" customHeight="1">
      <c r="B502" s="123"/>
      <c r="D502" s="123"/>
      <c r="F502" s="123"/>
      <c r="H502" s="123"/>
      <c r="J502" s="123"/>
      <c r="L502" s="123"/>
      <c r="N502" s="123"/>
    </row>
    <row r="503" ht="15.75" hidden="1" customHeight="1">
      <c r="B503" s="123"/>
      <c r="D503" s="123"/>
      <c r="F503" s="123"/>
      <c r="H503" s="123"/>
      <c r="J503" s="123"/>
      <c r="L503" s="123"/>
      <c r="N503" s="123"/>
    </row>
    <row r="504" ht="15.75" hidden="1" customHeight="1">
      <c r="B504" s="123"/>
      <c r="D504" s="123"/>
      <c r="F504" s="123"/>
      <c r="H504" s="123"/>
      <c r="J504" s="123"/>
      <c r="L504" s="123"/>
      <c r="N504" s="123"/>
    </row>
    <row r="505" ht="15.75" hidden="1" customHeight="1">
      <c r="B505" s="123"/>
      <c r="D505" s="123"/>
      <c r="F505" s="123"/>
      <c r="H505" s="123"/>
      <c r="J505" s="123"/>
      <c r="L505" s="123"/>
      <c r="N505" s="123"/>
    </row>
    <row r="506" ht="15.75" hidden="1" customHeight="1">
      <c r="B506" s="123"/>
      <c r="D506" s="123"/>
      <c r="F506" s="123"/>
      <c r="H506" s="123"/>
      <c r="J506" s="123"/>
      <c r="L506" s="123"/>
      <c r="N506" s="123"/>
    </row>
    <row r="507" ht="15.75" hidden="1" customHeight="1">
      <c r="B507" s="123"/>
      <c r="D507" s="123"/>
      <c r="F507" s="123"/>
      <c r="H507" s="123"/>
      <c r="J507" s="123"/>
      <c r="L507" s="123"/>
      <c r="N507" s="123"/>
    </row>
    <row r="508" ht="15.75" hidden="1" customHeight="1">
      <c r="B508" s="123"/>
      <c r="D508" s="123"/>
      <c r="F508" s="123"/>
      <c r="H508" s="123"/>
      <c r="J508" s="123"/>
      <c r="L508" s="123"/>
      <c r="N508" s="123"/>
    </row>
    <row r="509" ht="15.75" hidden="1" customHeight="1">
      <c r="B509" s="123"/>
      <c r="D509" s="123"/>
      <c r="F509" s="123"/>
      <c r="H509" s="123"/>
      <c r="J509" s="123"/>
      <c r="L509" s="123"/>
      <c r="N509" s="123"/>
    </row>
    <row r="510" ht="15.75" hidden="1" customHeight="1">
      <c r="B510" s="123"/>
      <c r="D510" s="123"/>
      <c r="F510" s="123"/>
      <c r="H510" s="123"/>
      <c r="J510" s="123"/>
      <c r="L510" s="123"/>
      <c r="N510" s="123"/>
    </row>
    <row r="511" ht="15.75" hidden="1" customHeight="1">
      <c r="B511" s="123"/>
      <c r="D511" s="123"/>
      <c r="F511" s="123"/>
      <c r="H511" s="123"/>
      <c r="J511" s="123"/>
      <c r="L511" s="123"/>
      <c r="N511" s="123"/>
    </row>
    <row r="512" ht="15.75" hidden="1" customHeight="1">
      <c r="B512" s="123"/>
      <c r="D512" s="123"/>
      <c r="F512" s="123"/>
      <c r="H512" s="123"/>
      <c r="J512" s="123"/>
      <c r="L512" s="123"/>
      <c r="N512" s="123"/>
    </row>
    <row r="513" ht="15.75" hidden="1" customHeight="1">
      <c r="B513" s="123"/>
      <c r="D513" s="123"/>
      <c r="F513" s="123"/>
      <c r="H513" s="123"/>
      <c r="J513" s="123"/>
      <c r="L513" s="123"/>
      <c r="N513" s="123"/>
    </row>
    <row r="514" ht="15.75" hidden="1" customHeight="1">
      <c r="B514" s="123"/>
      <c r="D514" s="123"/>
      <c r="F514" s="123"/>
      <c r="H514" s="123"/>
      <c r="J514" s="123"/>
      <c r="L514" s="123"/>
      <c r="N514" s="123"/>
    </row>
    <row r="515" ht="15.75" hidden="1" customHeight="1">
      <c r="B515" s="123"/>
      <c r="D515" s="123"/>
      <c r="F515" s="123"/>
      <c r="H515" s="123"/>
      <c r="J515" s="123"/>
      <c r="L515" s="123"/>
      <c r="N515" s="123"/>
    </row>
    <row r="516" ht="15.75" hidden="1" customHeight="1">
      <c r="B516" s="123"/>
      <c r="D516" s="123"/>
      <c r="F516" s="123"/>
      <c r="H516" s="123"/>
      <c r="J516" s="123"/>
      <c r="L516" s="123"/>
      <c r="N516" s="123"/>
    </row>
    <row r="517" ht="15.75" hidden="1" customHeight="1">
      <c r="B517" s="123"/>
      <c r="D517" s="123"/>
      <c r="F517" s="123"/>
      <c r="H517" s="123"/>
      <c r="J517" s="123"/>
      <c r="L517" s="123"/>
      <c r="N517" s="123"/>
    </row>
    <row r="518" ht="15.75" hidden="1" customHeight="1">
      <c r="B518" s="123"/>
      <c r="D518" s="123"/>
      <c r="F518" s="123"/>
      <c r="H518" s="123"/>
      <c r="J518" s="123"/>
      <c r="L518" s="123"/>
      <c r="N518" s="123"/>
    </row>
    <row r="519" ht="15.75" hidden="1" customHeight="1">
      <c r="B519" s="123"/>
      <c r="D519" s="123"/>
      <c r="F519" s="123"/>
      <c r="H519" s="123"/>
      <c r="J519" s="123"/>
      <c r="L519" s="123"/>
      <c r="N519" s="123"/>
    </row>
    <row r="520" ht="15.75" hidden="1" customHeight="1">
      <c r="B520" s="123"/>
      <c r="D520" s="123"/>
      <c r="F520" s="123"/>
      <c r="H520" s="123"/>
      <c r="J520" s="123"/>
      <c r="L520" s="123"/>
      <c r="N520" s="123"/>
    </row>
    <row r="521" ht="15.75" hidden="1" customHeight="1">
      <c r="B521" s="123"/>
      <c r="D521" s="123"/>
      <c r="F521" s="123"/>
      <c r="H521" s="123"/>
      <c r="J521" s="123"/>
      <c r="L521" s="123"/>
      <c r="N521" s="123"/>
    </row>
    <row r="522" ht="15.75" hidden="1" customHeight="1">
      <c r="B522" s="123"/>
      <c r="D522" s="123"/>
      <c r="F522" s="123"/>
      <c r="H522" s="123"/>
      <c r="J522" s="123"/>
      <c r="L522" s="123"/>
      <c r="N522" s="123"/>
    </row>
    <row r="523" ht="15.75" hidden="1" customHeight="1">
      <c r="B523" s="123"/>
      <c r="D523" s="123"/>
      <c r="F523" s="123"/>
      <c r="H523" s="123"/>
      <c r="J523" s="123"/>
      <c r="L523" s="123"/>
      <c r="N523" s="123"/>
    </row>
    <row r="524" ht="15.75" hidden="1" customHeight="1">
      <c r="B524" s="123"/>
      <c r="D524" s="123"/>
      <c r="F524" s="123"/>
      <c r="H524" s="123"/>
      <c r="J524" s="123"/>
      <c r="L524" s="123"/>
      <c r="N524" s="123"/>
    </row>
    <row r="525" ht="15.75" hidden="1" customHeight="1">
      <c r="B525" s="123"/>
      <c r="D525" s="123"/>
      <c r="F525" s="123"/>
      <c r="H525" s="123"/>
      <c r="J525" s="123"/>
      <c r="L525" s="123"/>
      <c r="N525" s="123"/>
    </row>
    <row r="526" ht="15.75" hidden="1" customHeight="1">
      <c r="B526" s="123"/>
      <c r="D526" s="123"/>
      <c r="F526" s="123"/>
      <c r="H526" s="123"/>
      <c r="J526" s="123"/>
      <c r="L526" s="123"/>
      <c r="N526" s="123"/>
    </row>
    <row r="527" ht="15.75" hidden="1" customHeight="1">
      <c r="B527" s="123"/>
      <c r="D527" s="123"/>
      <c r="F527" s="123"/>
      <c r="H527" s="123"/>
      <c r="J527" s="123"/>
      <c r="L527" s="123"/>
      <c r="N527" s="123"/>
    </row>
    <row r="528" ht="15.75" hidden="1" customHeight="1">
      <c r="B528" s="123"/>
      <c r="D528" s="123"/>
      <c r="F528" s="123"/>
      <c r="H528" s="123"/>
      <c r="J528" s="123"/>
      <c r="L528" s="123"/>
      <c r="N528" s="123"/>
    </row>
    <row r="529" ht="15.75" hidden="1" customHeight="1">
      <c r="B529" s="123"/>
      <c r="D529" s="123"/>
      <c r="F529" s="123"/>
      <c r="H529" s="123"/>
      <c r="J529" s="123"/>
      <c r="L529" s="123"/>
      <c r="N529" s="123"/>
    </row>
    <row r="530" ht="15.75" hidden="1" customHeight="1">
      <c r="B530" s="123"/>
      <c r="D530" s="123"/>
      <c r="F530" s="123"/>
      <c r="H530" s="123"/>
      <c r="J530" s="123"/>
      <c r="L530" s="123"/>
      <c r="N530" s="123"/>
    </row>
    <row r="531" ht="15.75" hidden="1" customHeight="1">
      <c r="B531" s="123"/>
      <c r="D531" s="123"/>
      <c r="F531" s="123"/>
      <c r="H531" s="123"/>
      <c r="J531" s="123"/>
      <c r="L531" s="123"/>
      <c r="N531" s="123"/>
    </row>
    <row r="532" ht="15.75" hidden="1" customHeight="1">
      <c r="B532" s="123"/>
      <c r="D532" s="123"/>
      <c r="F532" s="123"/>
      <c r="H532" s="123"/>
      <c r="J532" s="123"/>
      <c r="L532" s="123"/>
      <c r="N532" s="123"/>
    </row>
    <row r="533" ht="15.75" hidden="1" customHeight="1">
      <c r="B533" s="123"/>
      <c r="D533" s="123"/>
      <c r="F533" s="123"/>
      <c r="H533" s="123"/>
      <c r="J533" s="123"/>
      <c r="L533" s="123"/>
      <c r="N533" s="123"/>
    </row>
    <row r="534" ht="15.75" hidden="1" customHeight="1">
      <c r="B534" s="123"/>
      <c r="D534" s="123"/>
      <c r="F534" s="123"/>
      <c r="H534" s="123"/>
      <c r="J534" s="123"/>
      <c r="L534" s="123"/>
      <c r="N534" s="123"/>
    </row>
    <row r="535" ht="15.75" hidden="1" customHeight="1">
      <c r="B535" s="123"/>
      <c r="D535" s="123"/>
      <c r="F535" s="123"/>
      <c r="H535" s="123"/>
      <c r="J535" s="123"/>
      <c r="L535" s="123"/>
      <c r="N535" s="123"/>
    </row>
    <row r="536" ht="15.75" hidden="1" customHeight="1">
      <c r="B536" s="123"/>
      <c r="D536" s="123"/>
      <c r="F536" s="123"/>
      <c r="H536" s="123"/>
      <c r="J536" s="123"/>
      <c r="L536" s="123"/>
      <c r="N536" s="123"/>
    </row>
    <row r="537" ht="15.75" hidden="1" customHeight="1">
      <c r="B537" s="123"/>
      <c r="D537" s="123"/>
      <c r="F537" s="123"/>
      <c r="H537" s="123"/>
      <c r="J537" s="123"/>
      <c r="L537" s="123"/>
      <c r="N537" s="123"/>
    </row>
    <row r="538" ht="15.75" hidden="1" customHeight="1">
      <c r="B538" s="123"/>
      <c r="D538" s="123"/>
      <c r="F538" s="123"/>
      <c r="H538" s="123"/>
      <c r="J538" s="123"/>
      <c r="L538" s="123"/>
      <c r="N538" s="123"/>
    </row>
    <row r="539" ht="15.75" hidden="1" customHeight="1">
      <c r="B539" s="123"/>
      <c r="D539" s="123"/>
      <c r="F539" s="123"/>
      <c r="H539" s="123"/>
      <c r="J539" s="123"/>
      <c r="L539" s="123"/>
      <c r="N539" s="123"/>
    </row>
    <row r="540" ht="15.75" hidden="1" customHeight="1">
      <c r="B540" s="123"/>
      <c r="D540" s="123"/>
      <c r="F540" s="123"/>
      <c r="H540" s="123"/>
      <c r="J540" s="123"/>
      <c r="L540" s="123"/>
      <c r="N540" s="123"/>
    </row>
    <row r="541" ht="15.75" hidden="1" customHeight="1">
      <c r="B541" s="123"/>
      <c r="D541" s="123"/>
      <c r="F541" s="123"/>
      <c r="H541" s="123"/>
      <c r="J541" s="123"/>
      <c r="L541" s="123"/>
      <c r="N541" s="123"/>
    </row>
    <row r="542" ht="15.75" hidden="1" customHeight="1">
      <c r="B542" s="123"/>
      <c r="D542" s="123"/>
      <c r="F542" s="123"/>
      <c r="H542" s="123"/>
      <c r="J542" s="123"/>
      <c r="L542" s="123"/>
      <c r="N542" s="123"/>
    </row>
    <row r="543" ht="15.75" hidden="1" customHeight="1">
      <c r="B543" s="123"/>
      <c r="D543" s="123"/>
      <c r="F543" s="123"/>
      <c r="H543" s="123"/>
      <c r="J543" s="123"/>
      <c r="L543" s="123"/>
      <c r="N543" s="123"/>
    </row>
    <row r="544" ht="15.75" hidden="1" customHeight="1">
      <c r="B544" s="123"/>
      <c r="D544" s="123"/>
      <c r="F544" s="123"/>
      <c r="H544" s="123"/>
      <c r="J544" s="123"/>
      <c r="L544" s="123"/>
      <c r="N544" s="123"/>
    </row>
    <row r="545" ht="15.75" hidden="1" customHeight="1">
      <c r="B545" s="123"/>
      <c r="D545" s="123"/>
      <c r="F545" s="123"/>
      <c r="H545" s="123"/>
      <c r="J545" s="123"/>
      <c r="L545" s="123"/>
      <c r="N545" s="123"/>
    </row>
    <row r="546" ht="15.75" hidden="1" customHeight="1">
      <c r="B546" s="123"/>
      <c r="D546" s="123"/>
      <c r="F546" s="123"/>
      <c r="H546" s="123"/>
      <c r="J546" s="123"/>
      <c r="L546" s="123"/>
      <c r="N546" s="123"/>
    </row>
    <row r="547" ht="15.75" hidden="1" customHeight="1">
      <c r="B547" s="123"/>
      <c r="D547" s="123"/>
      <c r="F547" s="123"/>
      <c r="H547" s="123"/>
      <c r="J547" s="123"/>
      <c r="L547" s="123"/>
      <c r="N547" s="123"/>
    </row>
    <row r="548" ht="15.75" hidden="1" customHeight="1">
      <c r="B548" s="123"/>
      <c r="D548" s="123"/>
      <c r="F548" s="123"/>
      <c r="H548" s="123"/>
      <c r="J548" s="123"/>
      <c r="L548" s="123"/>
      <c r="N548" s="123"/>
    </row>
    <row r="549" ht="15.75" hidden="1" customHeight="1">
      <c r="B549" s="123"/>
      <c r="D549" s="123"/>
      <c r="F549" s="123"/>
      <c r="H549" s="123"/>
      <c r="J549" s="123"/>
      <c r="L549" s="123"/>
      <c r="N549" s="123"/>
    </row>
    <row r="550" ht="15.75" hidden="1" customHeight="1">
      <c r="B550" s="123"/>
      <c r="D550" s="123"/>
      <c r="F550" s="123"/>
      <c r="H550" s="123"/>
      <c r="J550" s="123"/>
      <c r="L550" s="123"/>
      <c r="N550" s="123"/>
    </row>
    <row r="551" ht="15.75" hidden="1" customHeight="1">
      <c r="B551" s="123"/>
      <c r="D551" s="123"/>
      <c r="F551" s="123"/>
      <c r="H551" s="123"/>
      <c r="J551" s="123"/>
      <c r="L551" s="123"/>
      <c r="N551" s="123"/>
    </row>
    <row r="552" ht="15.75" hidden="1" customHeight="1">
      <c r="B552" s="123"/>
      <c r="D552" s="123"/>
      <c r="F552" s="123"/>
      <c r="H552" s="123"/>
      <c r="J552" s="123"/>
      <c r="L552" s="123"/>
      <c r="N552" s="123"/>
    </row>
    <row r="553" ht="15.75" hidden="1" customHeight="1">
      <c r="B553" s="123"/>
      <c r="D553" s="123"/>
      <c r="F553" s="123"/>
      <c r="H553" s="123"/>
      <c r="J553" s="123"/>
      <c r="L553" s="123"/>
      <c r="N553" s="123"/>
    </row>
    <row r="554" ht="15.75" hidden="1" customHeight="1">
      <c r="B554" s="123"/>
      <c r="D554" s="123"/>
      <c r="F554" s="123"/>
      <c r="H554" s="123"/>
      <c r="J554" s="123"/>
      <c r="L554" s="123"/>
      <c r="N554" s="123"/>
    </row>
    <row r="555" ht="15.75" hidden="1" customHeight="1">
      <c r="B555" s="123"/>
      <c r="D555" s="123"/>
      <c r="F555" s="123"/>
      <c r="H555" s="123"/>
      <c r="J555" s="123"/>
      <c r="L555" s="123"/>
      <c r="N555" s="123"/>
    </row>
    <row r="556" ht="15.75" hidden="1" customHeight="1">
      <c r="B556" s="123"/>
      <c r="D556" s="123"/>
      <c r="F556" s="123"/>
      <c r="H556" s="123"/>
      <c r="J556" s="123"/>
      <c r="L556" s="123"/>
      <c r="N556" s="123"/>
    </row>
    <row r="557" ht="15.75" hidden="1" customHeight="1">
      <c r="B557" s="123"/>
      <c r="D557" s="123"/>
      <c r="F557" s="123"/>
      <c r="H557" s="123"/>
      <c r="J557" s="123"/>
      <c r="L557" s="123"/>
      <c r="N557" s="123"/>
    </row>
    <row r="558" ht="15.75" hidden="1" customHeight="1">
      <c r="B558" s="123"/>
      <c r="D558" s="123"/>
      <c r="F558" s="123"/>
      <c r="H558" s="123"/>
      <c r="J558" s="123"/>
      <c r="L558" s="123"/>
      <c r="N558" s="123"/>
    </row>
    <row r="559" ht="15.75" hidden="1" customHeight="1">
      <c r="B559" s="123"/>
      <c r="D559" s="123"/>
      <c r="F559" s="123"/>
      <c r="H559" s="123"/>
      <c r="J559" s="123"/>
      <c r="L559" s="123"/>
      <c r="N559" s="123"/>
    </row>
    <row r="560" ht="15.75" hidden="1" customHeight="1">
      <c r="B560" s="123"/>
      <c r="D560" s="123"/>
      <c r="F560" s="123"/>
      <c r="H560" s="123"/>
      <c r="J560" s="123"/>
      <c r="L560" s="123"/>
      <c r="N560" s="123"/>
    </row>
    <row r="561" ht="15.75" hidden="1" customHeight="1">
      <c r="B561" s="123"/>
      <c r="D561" s="123"/>
      <c r="F561" s="123"/>
      <c r="H561" s="123"/>
      <c r="J561" s="123"/>
      <c r="L561" s="123"/>
      <c r="N561" s="123"/>
    </row>
    <row r="562" ht="15.75" hidden="1" customHeight="1">
      <c r="B562" s="123"/>
      <c r="D562" s="123"/>
      <c r="F562" s="123"/>
      <c r="H562" s="123"/>
      <c r="J562" s="123"/>
      <c r="L562" s="123"/>
      <c r="N562" s="123"/>
    </row>
    <row r="563" ht="15.75" hidden="1" customHeight="1">
      <c r="B563" s="123"/>
      <c r="D563" s="123"/>
      <c r="F563" s="123"/>
      <c r="H563" s="123"/>
      <c r="J563" s="123"/>
      <c r="L563" s="123"/>
      <c r="N563" s="123"/>
    </row>
    <row r="564" ht="15.75" hidden="1" customHeight="1">
      <c r="B564" s="123"/>
      <c r="D564" s="123"/>
      <c r="F564" s="123"/>
      <c r="H564" s="123"/>
      <c r="J564" s="123"/>
      <c r="L564" s="123"/>
      <c r="N564" s="123"/>
    </row>
    <row r="565" ht="15.75" hidden="1" customHeight="1">
      <c r="B565" s="123"/>
      <c r="D565" s="123"/>
      <c r="F565" s="123"/>
      <c r="H565" s="123"/>
      <c r="J565" s="123"/>
      <c r="L565" s="123"/>
      <c r="N565" s="123"/>
    </row>
    <row r="566" ht="15.75" hidden="1" customHeight="1">
      <c r="B566" s="123"/>
      <c r="D566" s="123"/>
      <c r="F566" s="123"/>
      <c r="H566" s="123"/>
      <c r="J566" s="123"/>
      <c r="L566" s="123"/>
      <c r="N566" s="123"/>
    </row>
    <row r="567" ht="15.75" hidden="1" customHeight="1">
      <c r="B567" s="123"/>
      <c r="D567" s="123"/>
      <c r="F567" s="123"/>
      <c r="H567" s="123"/>
      <c r="J567" s="123"/>
      <c r="L567" s="123"/>
      <c r="N567" s="123"/>
    </row>
    <row r="568" ht="15.75" hidden="1" customHeight="1">
      <c r="B568" s="123"/>
      <c r="D568" s="123"/>
      <c r="F568" s="123"/>
      <c r="H568" s="123"/>
      <c r="J568" s="123"/>
      <c r="L568" s="123"/>
      <c r="N568" s="123"/>
    </row>
    <row r="569" ht="15.75" hidden="1" customHeight="1">
      <c r="B569" s="123"/>
      <c r="D569" s="123"/>
      <c r="F569" s="123"/>
      <c r="H569" s="123"/>
      <c r="J569" s="123"/>
      <c r="L569" s="123"/>
      <c r="N569" s="123"/>
    </row>
    <row r="570" ht="15.75" hidden="1" customHeight="1">
      <c r="B570" s="123"/>
      <c r="D570" s="123"/>
      <c r="F570" s="123"/>
      <c r="H570" s="123"/>
      <c r="J570" s="123"/>
      <c r="L570" s="123"/>
      <c r="N570" s="123"/>
    </row>
    <row r="571" ht="15.75" hidden="1" customHeight="1">
      <c r="B571" s="123"/>
      <c r="D571" s="123"/>
      <c r="F571" s="123"/>
      <c r="H571" s="123"/>
      <c r="J571" s="123"/>
      <c r="L571" s="123"/>
      <c r="N571" s="123"/>
    </row>
    <row r="572" ht="15.75" hidden="1" customHeight="1">
      <c r="B572" s="123"/>
      <c r="D572" s="123"/>
      <c r="F572" s="123"/>
      <c r="H572" s="123"/>
      <c r="J572" s="123"/>
      <c r="L572" s="123"/>
      <c r="N572" s="123"/>
    </row>
    <row r="573" ht="15.75" hidden="1" customHeight="1">
      <c r="B573" s="123"/>
      <c r="D573" s="123"/>
      <c r="F573" s="123"/>
      <c r="H573" s="123"/>
      <c r="J573" s="123"/>
      <c r="L573" s="123"/>
      <c r="N573" s="123"/>
    </row>
    <row r="574" ht="15.75" hidden="1" customHeight="1">
      <c r="B574" s="123"/>
      <c r="D574" s="123"/>
      <c r="F574" s="123"/>
      <c r="H574" s="123"/>
      <c r="J574" s="123"/>
      <c r="L574" s="123"/>
      <c r="N574" s="123"/>
    </row>
    <row r="575" ht="15.75" hidden="1" customHeight="1">
      <c r="B575" s="123"/>
      <c r="D575" s="123"/>
      <c r="F575" s="123"/>
      <c r="H575" s="123"/>
      <c r="J575" s="123"/>
      <c r="L575" s="123"/>
      <c r="N575" s="123"/>
    </row>
    <row r="576" ht="15.75" hidden="1" customHeight="1">
      <c r="B576" s="123"/>
      <c r="D576" s="123"/>
      <c r="F576" s="123"/>
      <c r="H576" s="123"/>
      <c r="J576" s="123"/>
      <c r="L576" s="123"/>
      <c r="N576" s="123"/>
    </row>
    <row r="577" ht="15.75" hidden="1" customHeight="1">
      <c r="B577" s="123"/>
      <c r="D577" s="123"/>
      <c r="F577" s="123"/>
      <c r="H577" s="123"/>
      <c r="J577" s="123"/>
      <c r="L577" s="123"/>
      <c r="N577" s="123"/>
    </row>
    <row r="578" ht="15.75" hidden="1" customHeight="1">
      <c r="B578" s="123"/>
      <c r="D578" s="123"/>
      <c r="F578" s="123"/>
      <c r="H578" s="123"/>
      <c r="J578" s="123"/>
      <c r="L578" s="123"/>
      <c r="N578" s="123"/>
    </row>
    <row r="579" ht="15.75" hidden="1" customHeight="1">
      <c r="B579" s="123"/>
      <c r="D579" s="123"/>
      <c r="F579" s="123"/>
      <c r="H579" s="123"/>
      <c r="J579" s="123"/>
      <c r="L579" s="123"/>
      <c r="N579" s="123"/>
    </row>
    <row r="580" ht="15.75" hidden="1" customHeight="1">
      <c r="B580" s="123"/>
      <c r="D580" s="123"/>
      <c r="F580" s="123"/>
      <c r="H580" s="123"/>
      <c r="J580" s="123"/>
      <c r="L580" s="123"/>
      <c r="N580" s="123"/>
    </row>
    <row r="581" ht="15.75" hidden="1" customHeight="1">
      <c r="B581" s="123"/>
      <c r="D581" s="123"/>
      <c r="F581" s="123"/>
      <c r="H581" s="123"/>
      <c r="J581" s="123"/>
      <c r="L581" s="123"/>
      <c r="N581" s="123"/>
    </row>
    <row r="582" ht="15.75" hidden="1" customHeight="1">
      <c r="B582" s="123"/>
      <c r="D582" s="123"/>
      <c r="F582" s="123"/>
      <c r="H582" s="123"/>
      <c r="J582" s="123"/>
      <c r="L582" s="123"/>
      <c r="N582" s="123"/>
    </row>
    <row r="583" ht="15.75" hidden="1" customHeight="1">
      <c r="B583" s="123"/>
      <c r="D583" s="123"/>
      <c r="F583" s="123"/>
      <c r="H583" s="123"/>
      <c r="J583" s="123"/>
      <c r="L583" s="123"/>
      <c r="N583" s="123"/>
    </row>
    <row r="584" ht="15.75" hidden="1" customHeight="1">
      <c r="B584" s="123"/>
      <c r="D584" s="123"/>
      <c r="F584" s="123"/>
      <c r="H584" s="123"/>
      <c r="J584" s="123"/>
      <c r="L584" s="123"/>
      <c r="N584" s="123"/>
    </row>
    <row r="585" ht="15.75" hidden="1" customHeight="1">
      <c r="B585" s="123"/>
      <c r="D585" s="123"/>
      <c r="F585" s="123"/>
      <c r="H585" s="123"/>
      <c r="J585" s="123"/>
      <c r="L585" s="123"/>
      <c r="N585" s="123"/>
    </row>
    <row r="586" ht="15.75" hidden="1" customHeight="1">
      <c r="B586" s="123"/>
      <c r="D586" s="123"/>
      <c r="F586" s="123"/>
      <c r="H586" s="123"/>
      <c r="J586" s="123"/>
      <c r="L586" s="123"/>
      <c r="N586" s="123"/>
    </row>
    <row r="587" ht="15.75" hidden="1" customHeight="1">
      <c r="B587" s="123"/>
      <c r="D587" s="123"/>
      <c r="F587" s="123"/>
      <c r="H587" s="123"/>
      <c r="J587" s="123"/>
      <c r="L587" s="123"/>
      <c r="N587" s="123"/>
    </row>
    <row r="588" ht="15.75" hidden="1" customHeight="1">
      <c r="B588" s="123"/>
      <c r="D588" s="123"/>
      <c r="F588" s="123"/>
      <c r="H588" s="123"/>
      <c r="J588" s="123"/>
      <c r="L588" s="123"/>
      <c r="N588" s="123"/>
    </row>
    <row r="589" ht="15.75" hidden="1" customHeight="1">
      <c r="B589" s="123"/>
      <c r="D589" s="123"/>
      <c r="F589" s="123"/>
      <c r="H589" s="123"/>
      <c r="J589" s="123"/>
      <c r="L589" s="123"/>
      <c r="N589" s="123"/>
    </row>
    <row r="590" ht="15.75" hidden="1" customHeight="1">
      <c r="B590" s="123"/>
      <c r="D590" s="123"/>
      <c r="F590" s="123"/>
      <c r="H590" s="123"/>
      <c r="J590" s="123"/>
      <c r="L590" s="123"/>
      <c r="N590" s="123"/>
    </row>
    <row r="591" ht="15.75" hidden="1" customHeight="1">
      <c r="B591" s="123"/>
      <c r="D591" s="123"/>
      <c r="F591" s="123"/>
      <c r="H591" s="123"/>
      <c r="J591" s="123"/>
      <c r="L591" s="123"/>
      <c r="N591" s="123"/>
    </row>
    <row r="592" ht="15.75" hidden="1" customHeight="1">
      <c r="B592" s="123"/>
      <c r="D592" s="123"/>
      <c r="F592" s="123"/>
      <c r="H592" s="123"/>
      <c r="J592" s="123"/>
      <c r="L592" s="123"/>
      <c r="N592" s="123"/>
    </row>
    <row r="593" ht="15.75" hidden="1" customHeight="1">
      <c r="B593" s="123"/>
      <c r="D593" s="123"/>
      <c r="F593" s="123"/>
      <c r="H593" s="123"/>
      <c r="J593" s="123"/>
      <c r="L593" s="123"/>
      <c r="N593" s="123"/>
    </row>
    <row r="594" ht="15.75" hidden="1" customHeight="1">
      <c r="B594" s="123"/>
      <c r="D594" s="123"/>
      <c r="F594" s="123"/>
      <c r="H594" s="123"/>
      <c r="J594" s="123"/>
      <c r="L594" s="123"/>
      <c r="N594" s="123"/>
    </row>
    <row r="595" ht="15.75" hidden="1" customHeight="1">
      <c r="B595" s="123"/>
      <c r="D595" s="123"/>
      <c r="F595" s="123"/>
      <c r="H595" s="123"/>
      <c r="J595" s="123"/>
      <c r="L595" s="123"/>
      <c r="N595" s="123"/>
    </row>
    <row r="596" ht="15.75" hidden="1" customHeight="1">
      <c r="B596" s="123"/>
      <c r="D596" s="123"/>
      <c r="F596" s="123"/>
      <c r="H596" s="123"/>
      <c r="J596" s="123"/>
      <c r="L596" s="123"/>
      <c r="N596" s="123"/>
    </row>
    <row r="597" ht="15.75" hidden="1" customHeight="1">
      <c r="B597" s="123"/>
      <c r="D597" s="123"/>
      <c r="F597" s="123"/>
      <c r="H597" s="123"/>
      <c r="J597" s="123"/>
      <c r="L597" s="123"/>
      <c r="N597" s="123"/>
    </row>
    <row r="598" ht="15.75" hidden="1" customHeight="1">
      <c r="B598" s="123"/>
      <c r="D598" s="123"/>
      <c r="F598" s="123"/>
      <c r="H598" s="123"/>
      <c r="J598" s="123"/>
      <c r="L598" s="123"/>
      <c r="N598" s="123"/>
    </row>
    <row r="599" ht="15.75" hidden="1" customHeight="1">
      <c r="B599" s="123"/>
      <c r="D599" s="123"/>
      <c r="F599" s="123"/>
      <c r="H599" s="123"/>
      <c r="J599" s="123"/>
      <c r="L599" s="123"/>
      <c r="N599" s="123"/>
    </row>
    <row r="600" ht="15.75" hidden="1" customHeight="1">
      <c r="B600" s="123"/>
      <c r="D600" s="123"/>
      <c r="F600" s="123"/>
      <c r="H600" s="123"/>
      <c r="J600" s="123"/>
      <c r="L600" s="123"/>
      <c r="N600" s="123"/>
    </row>
    <row r="601" ht="15.75" hidden="1" customHeight="1">
      <c r="B601" s="123"/>
      <c r="D601" s="123"/>
      <c r="F601" s="123"/>
      <c r="H601" s="123"/>
      <c r="J601" s="123"/>
      <c r="L601" s="123"/>
      <c r="N601" s="123"/>
    </row>
    <row r="602" ht="15.75" hidden="1" customHeight="1">
      <c r="B602" s="123"/>
      <c r="D602" s="123"/>
      <c r="F602" s="123"/>
      <c r="H602" s="123"/>
      <c r="J602" s="123"/>
      <c r="L602" s="123"/>
      <c r="N602" s="123"/>
    </row>
    <row r="603" ht="15.75" hidden="1" customHeight="1">
      <c r="B603" s="123"/>
      <c r="D603" s="123"/>
      <c r="F603" s="123"/>
      <c r="H603" s="123"/>
      <c r="J603" s="123"/>
      <c r="L603" s="123"/>
      <c r="N603" s="123"/>
    </row>
    <row r="604" ht="15.75" hidden="1" customHeight="1">
      <c r="B604" s="123"/>
      <c r="D604" s="123"/>
      <c r="F604" s="123"/>
      <c r="H604" s="123"/>
      <c r="J604" s="123"/>
      <c r="L604" s="123"/>
      <c r="N604" s="123"/>
    </row>
    <row r="605" ht="15.75" hidden="1" customHeight="1">
      <c r="B605" s="123"/>
      <c r="D605" s="123"/>
      <c r="F605" s="123"/>
      <c r="H605" s="123"/>
      <c r="J605" s="123"/>
      <c r="L605" s="123"/>
      <c r="N605" s="123"/>
    </row>
    <row r="606" ht="15.75" hidden="1" customHeight="1">
      <c r="B606" s="123"/>
      <c r="D606" s="123"/>
      <c r="F606" s="123"/>
      <c r="H606" s="123"/>
      <c r="J606" s="123"/>
      <c r="L606" s="123"/>
      <c r="N606" s="123"/>
    </row>
    <row r="607" ht="15.75" hidden="1" customHeight="1">
      <c r="B607" s="123"/>
      <c r="D607" s="123"/>
      <c r="F607" s="123"/>
      <c r="H607" s="123"/>
      <c r="J607" s="123"/>
      <c r="L607" s="123"/>
      <c r="N607" s="123"/>
    </row>
    <row r="608" ht="15.75" hidden="1" customHeight="1">
      <c r="B608" s="123"/>
      <c r="D608" s="123"/>
      <c r="F608" s="123"/>
      <c r="H608" s="123"/>
      <c r="J608" s="123"/>
      <c r="L608" s="123"/>
      <c r="N608" s="123"/>
    </row>
    <row r="609" ht="15.75" hidden="1" customHeight="1">
      <c r="B609" s="123"/>
      <c r="D609" s="123"/>
      <c r="F609" s="123"/>
      <c r="H609" s="123"/>
      <c r="J609" s="123"/>
      <c r="L609" s="123"/>
      <c r="N609" s="123"/>
    </row>
    <row r="610" ht="15.75" hidden="1" customHeight="1">
      <c r="B610" s="123"/>
      <c r="D610" s="123"/>
      <c r="F610" s="123"/>
      <c r="H610" s="123"/>
      <c r="J610" s="123"/>
      <c r="L610" s="123"/>
      <c r="N610" s="123"/>
    </row>
    <row r="611" ht="15.75" hidden="1" customHeight="1">
      <c r="B611" s="123"/>
      <c r="D611" s="123"/>
      <c r="F611" s="123"/>
      <c r="H611" s="123"/>
      <c r="J611" s="123"/>
      <c r="L611" s="123"/>
      <c r="N611" s="123"/>
    </row>
    <row r="612" ht="15.75" hidden="1" customHeight="1">
      <c r="B612" s="123"/>
      <c r="D612" s="123"/>
      <c r="F612" s="123"/>
      <c r="H612" s="123"/>
      <c r="J612" s="123"/>
      <c r="L612" s="123"/>
      <c r="N612" s="123"/>
    </row>
    <row r="613" ht="15.75" hidden="1" customHeight="1">
      <c r="B613" s="123"/>
      <c r="D613" s="123"/>
      <c r="F613" s="123"/>
      <c r="H613" s="123"/>
      <c r="J613" s="123"/>
      <c r="L613" s="123"/>
      <c r="N613" s="123"/>
    </row>
    <row r="614" ht="15.75" hidden="1" customHeight="1">
      <c r="B614" s="123"/>
      <c r="D614" s="123"/>
      <c r="F614" s="123"/>
      <c r="H614" s="123"/>
      <c r="J614" s="123"/>
      <c r="L614" s="123"/>
      <c r="N614" s="123"/>
    </row>
    <row r="615" ht="15.75" hidden="1" customHeight="1">
      <c r="B615" s="123"/>
      <c r="D615" s="123"/>
      <c r="F615" s="123"/>
      <c r="H615" s="123"/>
      <c r="J615" s="123"/>
      <c r="L615" s="123"/>
      <c r="N615" s="123"/>
    </row>
    <row r="616" ht="15.75" hidden="1" customHeight="1">
      <c r="B616" s="123"/>
      <c r="D616" s="123"/>
      <c r="F616" s="123"/>
      <c r="H616" s="123"/>
      <c r="J616" s="123"/>
      <c r="L616" s="123"/>
      <c r="N616" s="123"/>
    </row>
    <row r="617" ht="15.75" hidden="1" customHeight="1">
      <c r="B617" s="123"/>
      <c r="D617" s="123"/>
      <c r="F617" s="123"/>
      <c r="H617" s="123"/>
      <c r="J617" s="123"/>
      <c r="L617" s="123"/>
      <c r="N617" s="123"/>
    </row>
    <row r="618" ht="15.75" hidden="1" customHeight="1">
      <c r="B618" s="123"/>
      <c r="D618" s="123"/>
      <c r="F618" s="123"/>
      <c r="H618" s="123"/>
      <c r="J618" s="123"/>
      <c r="L618" s="123"/>
      <c r="N618" s="123"/>
    </row>
    <row r="619" ht="15.75" hidden="1" customHeight="1">
      <c r="B619" s="123"/>
      <c r="D619" s="123"/>
      <c r="F619" s="123"/>
      <c r="H619" s="123"/>
      <c r="J619" s="123"/>
      <c r="L619" s="123"/>
      <c r="N619" s="123"/>
    </row>
    <row r="620" ht="15.75" hidden="1" customHeight="1">
      <c r="B620" s="123"/>
      <c r="D620" s="123"/>
      <c r="F620" s="123"/>
      <c r="H620" s="123"/>
      <c r="J620" s="123"/>
      <c r="L620" s="123"/>
      <c r="N620" s="123"/>
    </row>
    <row r="621" ht="15.75" hidden="1" customHeight="1">
      <c r="B621" s="123"/>
      <c r="D621" s="123"/>
      <c r="F621" s="123"/>
      <c r="H621" s="123"/>
      <c r="J621" s="123"/>
      <c r="L621" s="123"/>
      <c r="N621" s="123"/>
    </row>
    <row r="622" ht="15.75" hidden="1" customHeight="1">
      <c r="B622" s="123"/>
      <c r="D622" s="123"/>
      <c r="F622" s="123"/>
      <c r="H622" s="123"/>
      <c r="J622" s="123"/>
      <c r="L622" s="123"/>
      <c r="N622" s="123"/>
    </row>
    <row r="623" ht="15.75" hidden="1" customHeight="1">
      <c r="B623" s="123"/>
      <c r="D623" s="123"/>
      <c r="F623" s="123"/>
      <c r="H623" s="123"/>
      <c r="J623" s="123"/>
      <c r="L623" s="123"/>
      <c r="N623" s="123"/>
    </row>
    <row r="624" ht="15.75" hidden="1" customHeight="1">
      <c r="B624" s="123"/>
      <c r="D624" s="123"/>
      <c r="F624" s="123"/>
      <c r="H624" s="123"/>
      <c r="J624" s="123"/>
      <c r="L624" s="123"/>
      <c r="N624" s="123"/>
    </row>
    <row r="625" ht="15.75" hidden="1" customHeight="1">
      <c r="B625" s="123"/>
      <c r="D625" s="123"/>
      <c r="F625" s="123"/>
      <c r="H625" s="123"/>
      <c r="J625" s="123"/>
      <c r="L625" s="123"/>
      <c r="N625" s="123"/>
    </row>
    <row r="626" ht="15.75" hidden="1" customHeight="1">
      <c r="B626" s="123"/>
      <c r="D626" s="123"/>
      <c r="F626" s="123"/>
      <c r="H626" s="123"/>
      <c r="J626" s="123"/>
      <c r="L626" s="123"/>
      <c r="N626" s="123"/>
    </row>
    <row r="627" ht="15.75" hidden="1" customHeight="1">
      <c r="B627" s="123"/>
      <c r="D627" s="123"/>
      <c r="F627" s="123"/>
      <c r="H627" s="123"/>
      <c r="J627" s="123"/>
      <c r="L627" s="123"/>
      <c r="N627" s="123"/>
    </row>
    <row r="628" ht="15.75" hidden="1" customHeight="1">
      <c r="B628" s="123"/>
      <c r="D628" s="123"/>
      <c r="F628" s="123"/>
      <c r="H628" s="123"/>
      <c r="J628" s="123"/>
      <c r="L628" s="123"/>
      <c r="N628" s="123"/>
    </row>
    <row r="629" ht="15.75" hidden="1" customHeight="1">
      <c r="B629" s="123"/>
      <c r="D629" s="123"/>
      <c r="F629" s="123"/>
      <c r="H629" s="123"/>
      <c r="J629" s="123"/>
      <c r="L629" s="123"/>
      <c r="N629" s="123"/>
    </row>
    <row r="630" ht="15.75" hidden="1" customHeight="1">
      <c r="B630" s="123"/>
      <c r="D630" s="123"/>
      <c r="F630" s="123"/>
      <c r="H630" s="123"/>
      <c r="J630" s="123"/>
      <c r="L630" s="123"/>
      <c r="N630" s="123"/>
    </row>
    <row r="631" ht="15.75" hidden="1" customHeight="1">
      <c r="B631" s="123"/>
      <c r="D631" s="123"/>
      <c r="F631" s="123"/>
      <c r="H631" s="123"/>
      <c r="J631" s="123"/>
      <c r="L631" s="123"/>
      <c r="N631" s="123"/>
    </row>
    <row r="632" ht="15.75" hidden="1" customHeight="1">
      <c r="B632" s="123"/>
      <c r="D632" s="123"/>
      <c r="F632" s="123"/>
      <c r="H632" s="123"/>
      <c r="J632" s="123"/>
      <c r="L632" s="123"/>
      <c r="N632" s="123"/>
    </row>
    <row r="633" ht="15.75" hidden="1" customHeight="1">
      <c r="B633" s="123"/>
      <c r="D633" s="123"/>
      <c r="F633" s="123"/>
      <c r="H633" s="123"/>
      <c r="J633" s="123"/>
      <c r="L633" s="123"/>
      <c r="N633" s="123"/>
    </row>
    <row r="634" ht="15.75" hidden="1" customHeight="1">
      <c r="B634" s="123"/>
      <c r="D634" s="123"/>
      <c r="F634" s="123"/>
      <c r="H634" s="123"/>
      <c r="J634" s="123"/>
      <c r="L634" s="123"/>
      <c r="N634" s="123"/>
    </row>
    <row r="635" ht="15.75" hidden="1" customHeight="1">
      <c r="B635" s="123"/>
      <c r="D635" s="123"/>
      <c r="F635" s="123"/>
      <c r="H635" s="123"/>
      <c r="J635" s="123"/>
      <c r="L635" s="123"/>
      <c r="N635" s="123"/>
    </row>
    <row r="636" ht="15.75" hidden="1" customHeight="1">
      <c r="B636" s="123"/>
      <c r="D636" s="123"/>
      <c r="F636" s="123"/>
      <c r="H636" s="123"/>
      <c r="J636" s="123"/>
      <c r="L636" s="123"/>
      <c r="N636" s="123"/>
    </row>
    <row r="637" ht="15.75" hidden="1" customHeight="1">
      <c r="B637" s="123"/>
      <c r="D637" s="123"/>
      <c r="F637" s="123"/>
      <c r="H637" s="123"/>
      <c r="J637" s="123"/>
      <c r="L637" s="123"/>
      <c r="N637" s="123"/>
    </row>
    <row r="638" ht="15.75" hidden="1" customHeight="1">
      <c r="B638" s="123"/>
      <c r="D638" s="123"/>
      <c r="F638" s="123"/>
      <c r="H638" s="123"/>
      <c r="J638" s="123"/>
      <c r="L638" s="123"/>
      <c r="N638" s="123"/>
    </row>
    <row r="639" ht="15.75" hidden="1" customHeight="1">
      <c r="B639" s="123"/>
      <c r="D639" s="123"/>
      <c r="F639" s="123"/>
      <c r="H639" s="123"/>
      <c r="J639" s="123"/>
      <c r="L639" s="123"/>
      <c r="N639" s="123"/>
    </row>
    <row r="640" ht="15.75" hidden="1" customHeight="1">
      <c r="B640" s="123"/>
      <c r="D640" s="123"/>
      <c r="F640" s="123"/>
      <c r="H640" s="123"/>
      <c r="J640" s="123"/>
      <c r="L640" s="123"/>
      <c r="N640" s="123"/>
    </row>
    <row r="641" ht="15.75" hidden="1" customHeight="1">
      <c r="B641" s="123"/>
      <c r="D641" s="123"/>
      <c r="F641" s="123"/>
      <c r="H641" s="123"/>
      <c r="J641" s="123"/>
      <c r="L641" s="123"/>
      <c r="N641" s="123"/>
    </row>
    <row r="642" ht="15.75" hidden="1" customHeight="1">
      <c r="B642" s="123"/>
      <c r="D642" s="123"/>
      <c r="F642" s="123"/>
      <c r="H642" s="123"/>
      <c r="J642" s="123"/>
      <c r="L642" s="123"/>
      <c r="N642" s="123"/>
    </row>
    <row r="643" ht="15.75" hidden="1" customHeight="1">
      <c r="B643" s="123"/>
      <c r="D643" s="123"/>
      <c r="F643" s="123"/>
      <c r="H643" s="123"/>
      <c r="J643" s="123"/>
      <c r="L643" s="123"/>
      <c r="N643" s="123"/>
    </row>
    <row r="644" ht="15.75" hidden="1" customHeight="1">
      <c r="B644" s="123"/>
      <c r="D644" s="123"/>
      <c r="F644" s="123"/>
      <c r="H644" s="123"/>
      <c r="J644" s="123"/>
      <c r="L644" s="123"/>
      <c r="N644" s="123"/>
    </row>
    <row r="645" ht="15.75" hidden="1" customHeight="1">
      <c r="B645" s="123"/>
      <c r="D645" s="123"/>
      <c r="F645" s="123"/>
      <c r="H645" s="123"/>
      <c r="J645" s="123"/>
      <c r="L645" s="123"/>
      <c r="N645" s="123"/>
    </row>
    <row r="646" ht="15.75" hidden="1" customHeight="1">
      <c r="B646" s="123"/>
      <c r="D646" s="123"/>
      <c r="F646" s="123"/>
      <c r="H646" s="123"/>
      <c r="J646" s="123"/>
      <c r="L646" s="123"/>
      <c r="N646" s="123"/>
    </row>
    <row r="647" ht="15.75" hidden="1" customHeight="1">
      <c r="B647" s="123"/>
      <c r="D647" s="123"/>
      <c r="F647" s="123"/>
      <c r="H647" s="123"/>
      <c r="J647" s="123"/>
      <c r="L647" s="123"/>
      <c r="N647" s="123"/>
    </row>
    <row r="648" ht="15.75" hidden="1" customHeight="1">
      <c r="B648" s="123"/>
      <c r="D648" s="123"/>
      <c r="F648" s="123"/>
      <c r="H648" s="123"/>
      <c r="J648" s="123"/>
      <c r="L648" s="123"/>
      <c r="N648" s="123"/>
    </row>
    <row r="649" ht="15.75" hidden="1" customHeight="1">
      <c r="B649" s="123"/>
      <c r="D649" s="123"/>
      <c r="F649" s="123"/>
      <c r="H649" s="123"/>
      <c r="J649" s="123"/>
      <c r="L649" s="123"/>
      <c r="N649" s="123"/>
    </row>
    <row r="650" ht="15.75" hidden="1" customHeight="1">
      <c r="B650" s="123"/>
      <c r="D650" s="123"/>
      <c r="F650" s="123"/>
      <c r="H650" s="123"/>
      <c r="J650" s="123"/>
      <c r="L650" s="123"/>
      <c r="N650" s="123"/>
    </row>
    <row r="651" ht="15.75" hidden="1" customHeight="1">
      <c r="B651" s="123"/>
      <c r="D651" s="123"/>
      <c r="F651" s="123"/>
      <c r="H651" s="123"/>
      <c r="J651" s="123"/>
      <c r="L651" s="123"/>
      <c r="N651" s="123"/>
    </row>
    <row r="652" ht="15.75" hidden="1" customHeight="1">
      <c r="B652" s="123"/>
      <c r="D652" s="123"/>
      <c r="F652" s="123"/>
      <c r="H652" s="123"/>
      <c r="J652" s="123"/>
      <c r="L652" s="123"/>
      <c r="N652" s="123"/>
    </row>
    <row r="653" ht="15.75" hidden="1" customHeight="1">
      <c r="B653" s="123"/>
      <c r="D653" s="123"/>
      <c r="F653" s="123"/>
      <c r="H653" s="123"/>
      <c r="J653" s="123"/>
      <c r="L653" s="123"/>
      <c r="N653" s="123"/>
    </row>
    <row r="654" ht="15.75" hidden="1" customHeight="1">
      <c r="B654" s="123"/>
      <c r="D654" s="123"/>
      <c r="F654" s="123"/>
      <c r="H654" s="123"/>
      <c r="J654" s="123"/>
      <c r="L654" s="123"/>
      <c r="N654" s="123"/>
    </row>
    <row r="655" ht="15.75" hidden="1" customHeight="1">
      <c r="B655" s="123"/>
      <c r="D655" s="123"/>
      <c r="F655" s="123"/>
      <c r="H655" s="123"/>
      <c r="J655" s="123"/>
      <c r="L655" s="123"/>
      <c r="N655" s="123"/>
    </row>
    <row r="656" ht="15.75" hidden="1" customHeight="1">
      <c r="B656" s="123"/>
      <c r="D656" s="123"/>
      <c r="F656" s="123"/>
      <c r="H656" s="123"/>
      <c r="J656" s="123"/>
      <c r="L656" s="123"/>
      <c r="N656" s="123"/>
    </row>
    <row r="657" ht="15.75" hidden="1" customHeight="1">
      <c r="B657" s="123"/>
      <c r="D657" s="123"/>
      <c r="F657" s="123"/>
      <c r="H657" s="123"/>
      <c r="J657" s="123"/>
      <c r="L657" s="123"/>
      <c r="N657" s="123"/>
    </row>
    <row r="658" ht="15.75" hidden="1" customHeight="1">
      <c r="B658" s="123"/>
      <c r="D658" s="123"/>
      <c r="F658" s="123"/>
      <c r="H658" s="123"/>
      <c r="J658" s="123"/>
      <c r="L658" s="123"/>
      <c r="N658" s="123"/>
    </row>
    <row r="659" ht="15.75" hidden="1" customHeight="1">
      <c r="B659" s="123"/>
      <c r="D659" s="123"/>
      <c r="F659" s="123"/>
      <c r="H659" s="123"/>
      <c r="J659" s="123"/>
      <c r="L659" s="123"/>
      <c r="N659" s="123"/>
    </row>
    <row r="660" ht="15.75" hidden="1" customHeight="1">
      <c r="B660" s="123"/>
      <c r="D660" s="123"/>
      <c r="F660" s="123"/>
      <c r="H660" s="123"/>
      <c r="J660" s="123"/>
      <c r="L660" s="123"/>
      <c r="N660" s="123"/>
    </row>
    <row r="661" ht="15.75" hidden="1" customHeight="1">
      <c r="B661" s="123"/>
      <c r="D661" s="123"/>
      <c r="F661" s="123"/>
      <c r="H661" s="123"/>
      <c r="J661" s="123"/>
      <c r="L661" s="123"/>
      <c r="N661" s="123"/>
    </row>
    <row r="662" ht="15.75" hidden="1" customHeight="1">
      <c r="B662" s="123"/>
      <c r="D662" s="123"/>
      <c r="F662" s="123"/>
      <c r="H662" s="123"/>
      <c r="J662" s="123"/>
      <c r="L662" s="123"/>
      <c r="N662" s="123"/>
    </row>
    <row r="663" ht="15.75" hidden="1" customHeight="1">
      <c r="B663" s="123"/>
      <c r="D663" s="123"/>
      <c r="F663" s="123"/>
      <c r="H663" s="123"/>
      <c r="J663" s="123"/>
      <c r="L663" s="123"/>
      <c r="N663" s="123"/>
    </row>
    <row r="664" ht="15.75" hidden="1" customHeight="1">
      <c r="B664" s="123"/>
      <c r="D664" s="123"/>
      <c r="F664" s="123"/>
      <c r="H664" s="123"/>
      <c r="J664" s="123"/>
      <c r="L664" s="123"/>
      <c r="N664" s="123"/>
    </row>
    <row r="665" ht="15.75" hidden="1" customHeight="1">
      <c r="B665" s="123"/>
      <c r="D665" s="123"/>
      <c r="F665" s="123"/>
      <c r="H665" s="123"/>
      <c r="J665" s="123"/>
      <c r="L665" s="123"/>
      <c r="N665" s="123"/>
    </row>
    <row r="666" ht="15.75" hidden="1" customHeight="1">
      <c r="B666" s="123"/>
      <c r="D666" s="123"/>
      <c r="F666" s="123"/>
      <c r="H666" s="123"/>
      <c r="J666" s="123"/>
      <c r="L666" s="123"/>
      <c r="N666" s="123"/>
    </row>
    <row r="667" ht="15.75" hidden="1" customHeight="1">
      <c r="B667" s="123"/>
      <c r="D667" s="123"/>
      <c r="F667" s="123"/>
      <c r="H667" s="123"/>
      <c r="J667" s="123"/>
      <c r="L667" s="123"/>
      <c r="N667" s="123"/>
    </row>
    <row r="668" ht="15.75" hidden="1" customHeight="1">
      <c r="B668" s="123"/>
      <c r="D668" s="123"/>
      <c r="F668" s="123"/>
      <c r="H668" s="123"/>
      <c r="J668" s="123"/>
      <c r="L668" s="123"/>
      <c r="N668" s="123"/>
    </row>
    <row r="669" ht="15.75" hidden="1" customHeight="1">
      <c r="B669" s="123"/>
      <c r="D669" s="123"/>
      <c r="F669" s="123"/>
      <c r="H669" s="123"/>
      <c r="J669" s="123"/>
      <c r="L669" s="123"/>
      <c r="N669" s="123"/>
    </row>
    <row r="670" ht="15.75" hidden="1" customHeight="1">
      <c r="B670" s="123"/>
      <c r="D670" s="123"/>
      <c r="F670" s="123"/>
      <c r="H670" s="123"/>
      <c r="J670" s="123"/>
      <c r="L670" s="123"/>
      <c r="N670" s="123"/>
    </row>
    <row r="671" ht="15.75" hidden="1" customHeight="1">
      <c r="B671" s="123"/>
      <c r="D671" s="123"/>
      <c r="F671" s="123"/>
      <c r="H671" s="123"/>
      <c r="J671" s="123"/>
      <c r="L671" s="123"/>
      <c r="N671" s="123"/>
    </row>
    <row r="672" ht="15.75" hidden="1" customHeight="1">
      <c r="B672" s="123"/>
      <c r="D672" s="123"/>
      <c r="F672" s="123"/>
      <c r="H672" s="123"/>
      <c r="J672" s="123"/>
      <c r="L672" s="123"/>
      <c r="N672" s="123"/>
    </row>
    <row r="673" ht="15.75" hidden="1" customHeight="1">
      <c r="B673" s="123"/>
      <c r="D673" s="123"/>
      <c r="F673" s="123"/>
      <c r="H673" s="123"/>
      <c r="J673" s="123"/>
      <c r="L673" s="123"/>
      <c r="N673" s="123"/>
    </row>
    <row r="674" ht="15.75" hidden="1" customHeight="1">
      <c r="B674" s="123"/>
      <c r="D674" s="123"/>
      <c r="F674" s="123"/>
      <c r="H674" s="123"/>
      <c r="J674" s="123"/>
      <c r="L674" s="123"/>
      <c r="N674" s="123"/>
    </row>
    <row r="675" ht="15.75" hidden="1" customHeight="1">
      <c r="B675" s="123"/>
      <c r="D675" s="123"/>
      <c r="F675" s="123"/>
      <c r="H675" s="123"/>
      <c r="J675" s="123"/>
      <c r="L675" s="123"/>
      <c r="N675" s="123"/>
    </row>
    <row r="676" ht="15.75" hidden="1" customHeight="1">
      <c r="B676" s="123"/>
      <c r="D676" s="123"/>
      <c r="F676" s="123"/>
      <c r="H676" s="123"/>
      <c r="J676" s="123"/>
      <c r="L676" s="123"/>
      <c r="N676" s="123"/>
    </row>
    <row r="677" ht="15.75" hidden="1" customHeight="1">
      <c r="B677" s="123"/>
      <c r="D677" s="123"/>
      <c r="F677" s="123"/>
      <c r="H677" s="123"/>
      <c r="J677" s="123"/>
      <c r="L677" s="123"/>
      <c r="N677" s="123"/>
    </row>
    <row r="678" ht="15.75" hidden="1" customHeight="1">
      <c r="B678" s="123"/>
      <c r="D678" s="123"/>
      <c r="F678" s="123"/>
      <c r="H678" s="123"/>
      <c r="J678" s="123"/>
      <c r="L678" s="123"/>
      <c r="N678" s="123"/>
    </row>
    <row r="679" ht="15.75" hidden="1" customHeight="1">
      <c r="B679" s="123"/>
      <c r="D679" s="123"/>
      <c r="F679" s="123"/>
      <c r="H679" s="123"/>
      <c r="J679" s="123"/>
      <c r="L679" s="123"/>
      <c r="N679" s="123"/>
    </row>
    <row r="680" ht="15.75" hidden="1" customHeight="1">
      <c r="B680" s="123"/>
      <c r="D680" s="123"/>
      <c r="F680" s="123"/>
      <c r="H680" s="123"/>
      <c r="J680" s="123"/>
      <c r="L680" s="123"/>
      <c r="N680" s="123"/>
    </row>
    <row r="681" ht="15.75" hidden="1" customHeight="1">
      <c r="B681" s="123"/>
      <c r="D681" s="123"/>
      <c r="F681" s="123"/>
      <c r="H681" s="123"/>
      <c r="J681" s="123"/>
      <c r="L681" s="123"/>
      <c r="N681" s="123"/>
    </row>
    <row r="682" ht="15.75" hidden="1" customHeight="1">
      <c r="B682" s="123"/>
      <c r="D682" s="123"/>
      <c r="F682" s="123"/>
      <c r="H682" s="123"/>
      <c r="J682" s="123"/>
      <c r="L682" s="123"/>
      <c r="N682" s="123"/>
    </row>
    <row r="683" ht="15.75" hidden="1" customHeight="1">
      <c r="B683" s="123"/>
      <c r="D683" s="123"/>
      <c r="F683" s="123"/>
      <c r="H683" s="123"/>
      <c r="J683" s="123"/>
      <c r="L683" s="123"/>
      <c r="N683" s="123"/>
    </row>
    <row r="684" ht="15.75" hidden="1" customHeight="1">
      <c r="B684" s="123"/>
      <c r="D684" s="123"/>
      <c r="F684" s="123"/>
      <c r="H684" s="123"/>
      <c r="J684" s="123"/>
      <c r="L684" s="123"/>
      <c r="N684" s="123"/>
    </row>
    <row r="685" ht="15.75" hidden="1" customHeight="1">
      <c r="B685" s="123"/>
      <c r="D685" s="123"/>
      <c r="F685" s="123"/>
      <c r="H685" s="123"/>
      <c r="J685" s="123"/>
      <c r="L685" s="123"/>
      <c r="N685" s="123"/>
    </row>
    <row r="686" ht="15.75" hidden="1" customHeight="1">
      <c r="B686" s="123"/>
      <c r="D686" s="123"/>
      <c r="F686" s="123"/>
      <c r="H686" s="123"/>
      <c r="J686" s="123"/>
      <c r="L686" s="123"/>
      <c r="N686" s="123"/>
    </row>
    <row r="687" ht="15.75" hidden="1" customHeight="1">
      <c r="B687" s="123"/>
      <c r="D687" s="123"/>
      <c r="F687" s="123"/>
      <c r="H687" s="123"/>
      <c r="J687" s="123"/>
      <c r="L687" s="123"/>
      <c r="N687" s="123"/>
    </row>
    <row r="688" ht="15.75" hidden="1" customHeight="1">
      <c r="B688" s="123"/>
      <c r="D688" s="123"/>
      <c r="F688" s="123"/>
      <c r="H688" s="123"/>
      <c r="J688" s="123"/>
      <c r="L688" s="123"/>
      <c r="N688" s="123"/>
    </row>
    <row r="689" ht="15.75" hidden="1" customHeight="1">
      <c r="B689" s="123"/>
      <c r="D689" s="123"/>
      <c r="F689" s="123"/>
      <c r="H689" s="123"/>
      <c r="J689" s="123"/>
      <c r="L689" s="123"/>
      <c r="N689" s="123"/>
    </row>
    <row r="690" ht="15.75" hidden="1" customHeight="1">
      <c r="B690" s="123"/>
      <c r="D690" s="123"/>
      <c r="F690" s="123"/>
      <c r="H690" s="123"/>
      <c r="J690" s="123"/>
      <c r="L690" s="123"/>
      <c r="N690" s="123"/>
    </row>
    <row r="691" ht="15.75" hidden="1" customHeight="1">
      <c r="B691" s="123"/>
      <c r="D691" s="123"/>
      <c r="F691" s="123"/>
      <c r="H691" s="123"/>
      <c r="J691" s="123"/>
      <c r="L691" s="123"/>
      <c r="N691" s="123"/>
    </row>
    <row r="692" ht="15.75" hidden="1" customHeight="1">
      <c r="B692" s="123"/>
      <c r="D692" s="123"/>
      <c r="F692" s="123"/>
      <c r="H692" s="123"/>
      <c r="J692" s="123"/>
      <c r="L692" s="123"/>
      <c r="N692" s="123"/>
    </row>
    <row r="693" ht="15.75" hidden="1" customHeight="1">
      <c r="B693" s="123"/>
      <c r="D693" s="123"/>
      <c r="F693" s="123"/>
      <c r="H693" s="123"/>
      <c r="J693" s="123"/>
      <c r="L693" s="123"/>
      <c r="N693" s="123"/>
    </row>
    <row r="694" ht="15.75" hidden="1" customHeight="1">
      <c r="B694" s="123"/>
      <c r="D694" s="123"/>
      <c r="F694" s="123"/>
      <c r="H694" s="123"/>
      <c r="J694" s="123"/>
      <c r="L694" s="123"/>
      <c r="N694" s="123"/>
    </row>
    <row r="695" ht="15.75" hidden="1" customHeight="1">
      <c r="B695" s="123"/>
      <c r="D695" s="123"/>
      <c r="F695" s="123"/>
      <c r="H695" s="123"/>
      <c r="J695" s="123"/>
      <c r="L695" s="123"/>
      <c r="N695" s="123"/>
    </row>
    <row r="696" ht="15.75" hidden="1" customHeight="1">
      <c r="B696" s="123"/>
      <c r="D696" s="123"/>
      <c r="F696" s="123"/>
      <c r="H696" s="123"/>
      <c r="J696" s="123"/>
      <c r="L696" s="123"/>
      <c r="N696" s="123"/>
    </row>
    <row r="697" ht="15.75" hidden="1" customHeight="1">
      <c r="B697" s="123"/>
      <c r="D697" s="123"/>
      <c r="F697" s="123"/>
      <c r="H697" s="123"/>
      <c r="J697" s="123"/>
      <c r="L697" s="123"/>
      <c r="N697" s="123"/>
    </row>
    <row r="698" ht="15.75" hidden="1" customHeight="1">
      <c r="B698" s="123"/>
      <c r="D698" s="123"/>
      <c r="F698" s="123"/>
      <c r="H698" s="123"/>
      <c r="J698" s="123"/>
      <c r="L698" s="123"/>
      <c r="N698" s="123"/>
    </row>
    <row r="699" ht="15.75" hidden="1" customHeight="1">
      <c r="B699" s="123"/>
      <c r="D699" s="123"/>
      <c r="F699" s="123"/>
      <c r="H699" s="123"/>
      <c r="J699" s="123"/>
      <c r="L699" s="123"/>
      <c r="N699" s="123"/>
    </row>
    <row r="700" ht="15.75" hidden="1" customHeight="1">
      <c r="B700" s="123"/>
      <c r="D700" s="123"/>
      <c r="F700" s="123"/>
      <c r="H700" s="123"/>
      <c r="J700" s="123"/>
      <c r="L700" s="123"/>
      <c r="N700" s="123"/>
    </row>
    <row r="701" ht="15.75" hidden="1" customHeight="1">
      <c r="B701" s="123"/>
      <c r="D701" s="123"/>
      <c r="F701" s="123"/>
      <c r="H701" s="123"/>
      <c r="J701" s="123"/>
      <c r="L701" s="123"/>
      <c r="N701" s="123"/>
    </row>
    <row r="702" ht="15.75" hidden="1" customHeight="1">
      <c r="B702" s="123"/>
      <c r="D702" s="123"/>
      <c r="F702" s="123"/>
      <c r="H702" s="123"/>
      <c r="J702" s="123"/>
      <c r="L702" s="123"/>
      <c r="N702" s="123"/>
    </row>
    <row r="703" ht="15.75" hidden="1" customHeight="1">
      <c r="B703" s="123"/>
      <c r="D703" s="123"/>
      <c r="F703" s="123"/>
      <c r="H703" s="123"/>
      <c r="J703" s="123"/>
      <c r="L703" s="123"/>
      <c r="N703" s="123"/>
    </row>
    <row r="704" ht="15.75" hidden="1" customHeight="1">
      <c r="B704" s="123"/>
      <c r="D704" s="123"/>
      <c r="F704" s="123"/>
      <c r="H704" s="123"/>
      <c r="J704" s="123"/>
      <c r="L704" s="123"/>
      <c r="N704" s="123"/>
    </row>
    <row r="705" ht="15.75" hidden="1" customHeight="1">
      <c r="B705" s="123"/>
      <c r="D705" s="123"/>
      <c r="F705" s="123"/>
      <c r="H705" s="123"/>
      <c r="J705" s="123"/>
      <c r="L705" s="123"/>
      <c r="N705" s="123"/>
    </row>
    <row r="706" ht="15.75" hidden="1" customHeight="1">
      <c r="B706" s="123"/>
      <c r="D706" s="123"/>
      <c r="F706" s="123"/>
      <c r="H706" s="123"/>
      <c r="J706" s="123"/>
      <c r="L706" s="123"/>
      <c r="N706" s="123"/>
    </row>
    <row r="707" ht="15.75" hidden="1" customHeight="1">
      <c r="B707" s="123"/>
      <c r="D707" s="123"/>
      <c r="F707" s="123"/>
      <c r="H707" s="123"/>
      <c r="J707" s="123"/>
      <c r="L707" s="123"/>
      <c r="N707" s="123"/>
    </row>
    <row r="708" ht="15.75" hidden="1" customHeight="1">
      <c r="B708" s="123"/>
      <c r="D708" s="123"/>
      <c r="F708" s="123"/>
      <c r="H708" s="123"/>
      <c r="J708" s="123"/>
      <c r="L708" s="123"/>
      <c r="N708" s="123"/>
    </row>
    <row r="709" ht="15.75" hidden="1" customHeight="1">
      <c r="B709" s="123"/>
      <c r="D709" s="123"/>
      <c r="F709" s="123"/>
      <c r="H709" s="123"/>
      <c r="J709" s="123"/>
      <c r="L709" s="123"/>
      <c r="N709" s="123"/>
    </row>
    <row r="710" ht="15.75" hidden="1" customHeight="1">
      <c r="B710" s="123"/>
      <c r="D710" s="123"/>
      <c r="F710" s="123"/>
      <c r="H710" s="123"/>
      <c r="J710" s="123"/>
      <c r="L710" s="123"/>
      <c r="N710" s="123"/>
    </row>
    <row r="711" ht="15.75" hidden="1" customHeight="1">
      <c r="B711" s="123"/>
      <c r="D711" s="123"/>
      <c r="F711" s="123"/>
      <c r="H711" s="123"/>
      <c r="J711" s="123"/>
      <c r="L711" s="123"/>
      <c r="N711" s="123"/>
    </row>
    <row r="712" ht="15.75" hidden="1" customHeight="1">
      <c r="B712" s="123"/>
      <c r="D712" s="123"/>
      <c r="F712" s="123"/>
      <c r="H712" s="123"/>
      <c r="J712" s="123"/>
      <c r="L712" s="123"/>
      <c r="N712" s="123"/>
    </row>
    <row r="713" ht="15.75" hidden="1" customHeight="1">
      <c r="B713" s="123"/>
      <c r="D713" s="123"/>
      <c r="F713" s="123"/>
      <c r="H713" s="123"/>
      <c r="J713" s="123"/>
      <c r="L713" s="123"/>
      <c r="N713" s="123"/>
    </row>
    <row r="714" ht="15.75" hidden="1" customHeight="1">
      <c r="B714" s="123"/>
      <c r="D714" s="123"/>
      <c r="F714" s="123"/>
      <c r="H714" s="123"/>
      <c r="J714" s="123"/>
      <c r="L714" s="123"/>
      <c r="N714" s="123"/>
    </row>
    <row r="715" ht="15.75" hidden="1" customHeight="1">
      <c r="B715" s="123"/>
      <c r="D715" s="123"/>
      <c r="F715" s="123"/>
      <c r="H715" s="123"/>
      <c r="J715" s="123"/>
      <c r="L715" s="123"/>
      <c r="N715" s="123"/>
    </row>
    <row r="716" ht="15.75" hidden="1" customHeight="1">
      <c r="B716" s="123"/>
      <c r="D716" s="123"/>
      <c r="F716" s="123"/>
      <c r="H716" s="123"/>
      <c r="J716" s="123"/>
      <c r="L716" s="123"/>
      <c r="N716" s="123"/>
    </row>
    <row r="717" ht="15.75" hidden="1" customHeight="1">
      <c r="B717" s="123"/>
      <c r="D717" s="123"/>
      <c r="F717" s="123"/>
      <c r="H717" s="123"/>
      <c r="J717" s="123"/>
      <c r="L717" s="123"/>
      <c r="N717" s="123"/>
    </row>
    <row r="718" ht="15.75" hidden="1" customHeight="1">
      <c r="B718" s="123"/>
      <c r="D718" s="123"/>
      <c r="F718" s="123"/>
      <c r="H718" s="123"/>
      <c r="J718" s="123"/>
      <c r="L718" s="123"/>
      <c r="N718" s="123"/>
    </row>
    <row r="719" ht="15.75" hidden="1" customHeight="1">
      <c r="B719" s="123"/>
      <c r="D719" s="123"/>
      <c r="F719" s="123"/>
      <c r="H719" s="123"/>
      <c r="J719" s="123"/>
      <c r="L719" s="123"/>
      <c r="N719" s="123"/>
    </row>
    <row r="720" ht="15.75" hidden="1" customHeight="1">
      <c r="B720" s="123"/>
      <c r="D720" s="123"/>
      <c r="F720" s="123"/>
      <c r="H720" s="123"/>
      <c r="J720" s="123"/>
      <c r="L720" s="123"/>
      <c r="N720" s="123"/>
    </row>
    <row r="721" ht="15.75" hidden="1" customHeight="1">
      <c r="B721" s="123"/>
      <c r="D721" s="123"/>
      <c r="F721" s="123"/>
      <c r="H721" s="123"/>
      <c r="J721" s="123"/>
      <c r="L721" s="123"/>
      <c r="N721" s="123"/>
    </row>
    <row r="722" ht="15.75" hidden="1" customHeight="1">
      <c r="B722" s="123"/>
      <c r="D722" s="123"/>
      <c r="F722" s="123"/>
      <c r="H722" s="123"/>
      <c r="J722" s="123"/>
      <c r="L722" s="123"/>
      <c r="N722" s="123"/>
    </row>
    <row r="723" ht="15.75" hidden="1" customHeight="1">
      <c r="B723" s="123"/>
      <c r="D723" s="123"/>
      <c r="F723" s="123"/>
      <c r="H723" s="123"/>
      <c r="J723" s="123"/>
      <c r="L723" s="123"/>
      <c r="N723" s="123"/>
    </row>
    <row r="724" ht="15.75" hidden="1" customHeight="1">
      <c r="B724" s="123"/>
      <c r="D724" s="123"/>
      <c r="F724" s="123"/>
      <c r="H724" s="123"/>
      <c r="J724" s="123"/>
      <c r="L724" s="123"/>
      <c r="N724" s="123"/>
    </row>
    <row r="725" ht="15.75" hidden="1" customHeight="1">
      <c r="B725" s="123"/>
      <c r="D725" s="123"/>
      <c r="F725" s="123"/>
      <c r="H725" s="123"/>
      <c r="J725" s="123"/>
      <c r="L725" s="123"/>
      <c r="N725" s="123"/>
    </row>
    <row r="726" ht="15.75" hidden="1" customHeight="1">
      <c r="B726" s="123"/>
      <c r="D726" s="123"/>
      <c r="F726" s="123"/>
      <c r="H726" s="123"/>
      <c r="J726" s="123"/>
      <c r="L726" s="123"/>
      <c r="N726" s="123"/>
    </row>
    <row r="727" ht="15.75" hidden="1" customHeight="1">
      <c r="B727" s="123"/>
      <c r="D727" s="123"/>
      <c r="F727" s="123"/>
      <c r="H727" s="123"/>
      <c r="J727" s="123"/>
      <c r="L727" s="123"/>
      <c r="N727" s="123"/>
    </row>
    <row r="728" ht="15.75" hidden="1" customHeight="1">
      <c r="B728" s="123"/>
      <c r="D728" s="123"/>
      <c r="F728" s="123"/>
      <c r="H728" s="123"/>
      <c r="J728" s="123"/>
      <c r="L728" s="123"/>
      <c r="N728" s="123"/>
    </row>
    <row r="729" ht="15.75" hidden="1" customHeight="1">
      <c r="B729" s="123"/>
      <c r="D729" s="123"/>
      <c r="F729" s="123"/>
      <c r="H729" s="123"/>
      <c r="J729" s="123"/>
      <c r="L729" s="123"/>
      <c r="N729" s="123"/>
    </row>
    <row r="730" ht="15.75" hidden="1" customHeight="1">
      <c r="B730" s="123"/>
      <c r="D730" s="123"/>
      <c r="F730" s="123"/>
      <c r="H730" s="123"/>
      <c r="J730" s="123"/>
      <c r="L730" s="123"/>
      <c r="N730" s="123"/>
    </row>
    <row r="731" ht="15.75" hidden="1" customHeight="1">
      <c r="B731" s="123"/>
      <c r="D731" s="123"/>
      <c r="F731" s="123"/>
      <c r="H731" s="123"/>
      <c r="J731" s="123"/>
      <c r="L731" s="123"/>
      <c r="N731" s="123"/>
    </row>
    <row r="732" ht="15.75" hidden="1" customHeight="1">
      <c r="B732" s="123"/>
      <c r="D732" s="123"/>
      <c r="F732" s="123"/>
      <c r="H732" s="123"/>
      <c r="J732" s="123"/>
      <c r="L732" s="123"/>
      <c r="N732" s="123"/>
    </row>
    <row r="733" ht="15.75" hidden="1" customHeight="1">
      <c r="B733" s="123"/>
      <c r="D733" s="123"/>
      <c r="F733" s="123"/>
      <c r="H733" s="123"/>
      <c r="J733" s="123"/>
      <c r="L733" s="123"/>
      <c r="N733" s="123"/>
    </row>
    <row r="734" ht="15.75" hidden="1" customHeight="1">
      <c r="B734" s="123"/>
      <c r="D734" s="123"/>
      <c r="F734" s="123"/>
      <c r="H734" s="123"/>
      <c r="J734" s="123"/>
      <c r="L734" s="123"/>
      <c r="N734" s="123"/>
    </row>
    <row r="735" ht="15.75" hidden="1" customHeight="1">
      <c r="B735" s="123"/>
      <c r="D735" s="123"/>
      <c r="F735" s="123"/>
      <c r="H735" s="123"/>
      <c r="J735" s="123"/>
      <c r="L735" s="123"/>
      <c r="N735" s="123"/>
    </row>
    <row r="736" ht="15.75" hidden="1" customHeight="1">
      <c r="B736" s="123"/>
      <c r="D736" s="123"/>
      <c r="F736" s="123"/>
      <c r="H736" s="123"/>
      <c r="J736" s="123"/>
      <c r="L736" s="123"/>
      <c r="N736" s="123"/>
    </row>
    <row r="737" ht="15.75" hidden="1" customHeight="1">
      <c r="B737" s="123"/>
      <c r="D737" s="123"/>
      <c r="F737" s="123"/>
      <c r="H737" s="123"/>
      <c r="J737" s="123"/>
      <c r="L737" s="123"/>
      <c r="N737" s="123"/>
    </row>
    <row r="738" ht="15.75" hidden="1" customHeight="1">
      <c r="B738" s="123"/>
      <c r="D738" s="123"/>
      <c r="F738" s="123"/>
      <c r="H738" s="123"/>
      <c r="J738" s="123"/>
      <c r="L738" s="123"/>
      <c r="N738" s="123"/>
    </row>
    <row r="739" ht="15.75" hidden="1" customHeight="1">
      <c r="B739" s="123"/>
      <c r="D739" s="123"/>
      <c r="F739" s="123"/>
      <c r="H739" s="123"/>
      <c r="J739" s="123"/>
      <c r="L739" s="123"/>
      <c r="N739" s="123"/>
    </row>
    <row r="740" ht="15.75" hidden="1" customHeight="1">
      <c r="B740" s="123"/>
      <c r="D740" s="123"/>
      <c r="F740" s="123"/>
      <c r="H740" s="123"/>
      <c r="J740" s="123"/>
      <c r="L740" s="123"/>
      <c r="N740" s="123"/>
    </row>
    <row r="741" ht="15.75" hidden="1" customHeight="1">
      <c r="B741" s="123"/>
      <c r="D741" s="123"/>
      <c r="F741" s="123"/>
      <c r="H741" s="123"/>
      <c r="J741" s="123"/>
      <c r="L741" s="123"/>
      <c r="N741" s="123"/>
    </row>
    <row r="742" ht="15.75" hidden="1" customHeight="1">
      <c r="B742" s="123"/>
      <c r="D742" s="123"/>
      <c r="F742" s="123"/>
      <c r="H742" s="123"/>
      <c r="J742" s="123"/>
      <c r="L742" s="123"/>
      <c r="N742" s="123"/>
    </row>
    <row r="743" ht="15.75" hidden="1" customHeight="1">
      <c r="B743" s="123"/>
      <c r="D743" s="123"/>
      <c r="F743" s="123"/>
      <c r="H743" s="123"/>
      <c r="J743" s="123"/>
      <c r="L743" s="123"/>
      <c r="N743" s="123"/>
    </row>
    <row r="744" ht="15.75" hidden="1" customHeight="1">
      <c r="B744" s="123"/>
      <c r="D744" s="123"/>
      <c r="F744" s="123"/>
      <c r="H744" s="123"/>
      <c r="J744" s="123"/>
      <c r="L744" s="123"/>
      <c r="N744" s="123"/>
    </row>
    <row r="745" ht="15.75" hidden="1" customHeight="1">
      <c r="B745" s="123"/>
      <c r="D745" s="123"/>
      <c r="F745" s="123"/>
      <c r="H745" s="123"/>
      <c r="J745" s="123"/>
      <c r="L745" s="123"/>
      <c r="N745" s="123"/>
    </row>
    <row r="746" ht="15.75" hidden="1" customHeight="1">
      <c r="B746" s="123"/>
      <c r="D746" s="123"/>
      <c r="F746" s="123"/>
      <c r="H746" s="123"/>
      <c r="J746" s="123"/>
      <c r="L746" s="123"/>
      <c r="N746" s="123"/>
    </row>
    <row r="747" ht="15.75" hidden="1" customHeight="1">
      <c r="B747" s="123"/>
      <c r="D747" s="123"/>
      <c r="F747" s="123"/>
      <c r="H747" s="123"/>
      <c r="J747" s="123"/>
      <c r="L747" s="123"/>
      <c r="N747" s="123"/>
    </row>
    <row r="748" ht="15.75" hidden="1" customHeight="1">
      <c r="B748" s="123"/>
      <c r="D748" s="123"/>
      <c r="F748" s="123"/>
      <c r="H748" s="123"/>
      <c r="J748" s="123"/>
      <c r="L748" s="123"/>
      <c r="N748" s="123"/>
    </row>
    <row r="749" ht="15.75" hidden="1" customHeight="1">
      <c r="B749" s="123"/>
      <c r="D749" s="123"/>
      <c r="F749" s="123"/>
      <c r="H749" s="123"/>
      <c r="J749" s="123"/>
      <c r="L749" s="123"/>
      <c r="N749" s="123"/>
    </row>
    <row r="750" ht="15.75" hidden="1" customHeight="1">
      <c r="B750" s="123"/>
      <c r="D750" s="123"/>
      <c r="F750" s="123"/>
      <c r="H750" s="123"/>
      <c r="J750" s="123"/>
      <c r="L750" s="123"/>
      <c r="N750" s="123"/>
    </row>
    <row r="751" ht="15.75" hidden="1" customHeight="1">
      <c r="B751" s="123"/>
      <c r="D751" s="123"/>
      <c r="F751" s="123"/>
      <c r="H751" s="123"/>
      <c r="J751" s="123"/>
      <c r="L751" s="123"/>
      <c r="N751" s="123"/>
    </row>
    <row r="752" ht="15.75" hidden="1" customHeight="1">
      <c r="B752" s="123"/>
      <c r="D752" s="123"/>
      <c r="F752" s="123"/>
      <c r="H752" s="123"/>
      <c r="J752" s="123"/>
      <c r="L752" s="123"/>
      <c r="N752" s="123"/>
    </row>
    <row r="753" ht="15.75" hidden="1" customHeight="1">
      <c r="B753" s="123"/>
      <c r="D753" s="123"/>
      <c r="F753" s="123"/>
      <c r="H753" s="123"/>
      <c r="J753" s="123"/>
      <c r="L753" s="123"/>
      <c r="N753" s="123"/>
    </row>
    <row r="754" ht="15.75" hidden="1" customHeight="1">
      <c r="B754" s="123"/>
      <c r="D754" s="123"/>
      <c r="F754" s="123"/>
      <c r="H754" s="123"/>
      <c r="J754" s="123"/>
      <c r="L754" s="123"/>
      <c r="N754" s="123"/>
    </row>
    <row r="755" ht="15.75" hidden="1" customHeight="1">
      <c r="B755" s="123"/>
      <c r="D755" s="123"/>
      <c r="F755" s="123"/>
      <c r="H755" s="123"/>
      <c r="J755" s="123"/>
      <c r="L755" s="123"/>
      <c r="N755" s="123"/>
    </row>
    <row r="756" ht="15.75" hidden="1" customHeight="1">
      <c r="B756" s="123"/>
      <c r="D756" s="123"/>
      <c r="F756" s="123"/>
      <c r="H756" s="123"/>
      <c r="J756" s="123"/>
      <c r="L756" s="123"/>
      <c r="N756" s="123"/>
    </row>
    <row r="757" ht="15.75" hidden="1" customHeight="1">
      <c r="B757" s="123"/>
      <c r="D757" s="123"/>
      <c r="F757" s="123"/>
      <c r="H757" s="123"/>
      <c r="J757" s="123"/>
      <c r="L757" s="123"/>
      <c r="N757" s="123"/>
    </row>
    <row r="758" ht="15.75" hidden="1" customHeight="1">
      <c r="B758" s="123"/>
      <c r="D758" s="123"/>
      <c r="F758" s="123"/>
      <c r="H758" s="123"/>
      <c r="J758" s="123"/>
      <c r="L758" s="123"/>
      <c r="N758" s="123"/>
    </row>
    <row r="759" ht="15.75" hidden="1" customHeight="1">
      <c r="B759" s="123"/>
      <c r="D759" s="123"/>
      <c r="F759" s="123"/>
      <c r="H759" s="123"/>
      <c r="J759" s="123"/>
      <c r="L759" s="123"/>
      <c r="N759" s="123"/>
    </row>
    <row r="760" ht="15.75" hidden="1" customHeight="1">
      <c r="B760" s="123"/>
      <c r="D760" s="123"/>
      <c r="F760" s="123"/>
      <c r="H760" s="123"/>
      <c r="J760" s="123"/>
      <c r="L760" s="123"/>
      <c r="N760" s="123"/>
    </row>
    <row r="761" ht="15.75" hidden="1" customHeight="1">
      <c r="B761" s="123"/>
      <c r="D761" s="123"/>
      <c r="F761" s="123"/>
      <c r="H761" s="123"/>
      <c r="J761" s="123"/>
      <c r="L761" s="123"/>
      <c r="N761" s="123"/>
    </row>
    <row r="762" ht="15.75" hidden="1" customHeight="1">
      <c r="B762" s="123"/>
      <c r="D762" s="123"/>
      <c r="F762" s="123"/>
      <c r="H762" s="123"/>
      <c r="J762" s="123"/>
      <c r="L762" s="123"/>
      <c r="N762" s="123"/>
    </row>
    <row r="763" ht="15.75" hidden="1" customHeight="1">
      <c r="B763" s="123"/>
      <c r="D763" s="123"/>
      <c r="F763" s="123"/>
      <c r="H763" s="123"/>
      <c r="J763" s="123"/>
      <c r="L763" s="123"/>
      <c r="N763" s="123"/>
    </row>
    <row r="764" ht="15.75" hidden="1" customHeight="1">
      <c r="B764" s="123"/>
      <c r="D764" s="123"/>
      <c r="F764" s="123"/>
      <c r="H764" s="123"/>
      <c r="J764" s="123"/>
      <c r="L764" s="123"/>
      <c r="N764" s="123"/>
    </row>
    <row r="765" ht="15.75" hidden="1" customHeight="1">
      <c r="B765" s="123"/>
      <c r="D765" s="123"/>
      <c r="F765" s="123"/>
      <c r="H765" s="123"/>
      <c r="J765" s="123"/>
      <c r="L765" s="123"/>
      <c r="N765" s="123"/>
    </row>
    <row r="766" ht="15.75" hidden="1" customHeight="1">
      <c r="B766" s="123"/>
      <c r="D766" s="123"/>
      <c r="F766" s="123"/>
      <c r="H766" s="123"/>
      <c r="J766" s="123"/>
      <c r="L766" s="123"/>
      <c r="N766" s="123"/>
    </row>
    <row r="767" ht="15.75" hidden="1" customHeight="1">
      <c r="B767" s="123"/>
      <c r="D767" s="123"/>
      <c r="F767" s="123"/>
      <c r="H767" s="123"/>
      <c r="J767" s="123"/>
      <c r="L767" s="123"/>
      <c r="N767" s="123"/>
    </row>
    <row r="768" ht="15.75" hidden="1" customHeight="1">
      <c r="B768" s="123"/>
      <c r="D768" s="123"/>
      <c r="F768" s="123"/>
      <c r="H768" s="123"/>
      <c r="J768" s="123"/>
      <c r="L768" s="123"/>
      <c r="N768" s="123"/>
    </row>
    <row r="769" ht="15.75" hidden="1" customHeight="1">
      <c r="B769" s="123"/>
      <c r="D769" s="123"/>
      <c r="F769" s="123"/>
      <c r="H769" s="123"/>
      <c r="J769" s="123"/>
      <c r="L769" s="123"/>
      <c r="N769" s="123"/>
    </row>
    <row r="770" ht="15.75" hidden="1" customHeight="1">
      <c r="B770" s="123"/>
      <c r="D770" s="123"/>
      <c r="F770" s="123"/>
      <c r="H770" s="123"/>
      <c r="J770" s="123"/>
      <c r="L770" s="123"/>
      <c r="N770" s="123"/>
    </row>
    <row r="771" ht="15.75" hidden="1" customHeight="1">
      <c r="B771" s="123"/>
      <c r="D771" s="123"/>
      <c r="F771" s="123"/>
      <c r="H771" s="123"/>
      <c r="J771" s="123"/>
      <c r="L771" s="123"/>
      <c r="N771" s="123"/>
    </row>
    <row r="772" ht="15.75" hidden="1" customHeight="1">
      <c r="B772" s="123"/>
      <c r="D772" s="123"/>
      <c r="F772" s="123"/>
      <c r="H772" s="123"/>
      <c r="J772" s="123"/>
      <c r="L772" s="123"/>
      <c r="N772" s="123"/>
    </row>
    <row r="773" ht="15.75" hidden="1" customHeight="1">
      <c r="B773" s="123"/>
      <c r="D773" s="123"/>
      <c r="F773" s="123"/>
      <c r="H773" s="123"/>
      <c r="J773" s="123"/>
      <c r="L773" s="123"/>
      <c r="N773" s="123"/>
    </row>
    <row r="774" ht="15.75" hidden="1" customHeight="1">
      <c r="B774" s="123"/>
      <c r="D774" s="123"/>
      <c r="F774" s="123"/>
      <c r="H774" s="123"/>
      <c r="J774" s="123"/>
      <c r="L774" s="123"/>
      <c r="N774" s="123"/>
    </row>
    <row r="775" ht="15.75" hidden="1" customHeight="1">
      <c r="B775" s="123"/>
      <c r="D775" s="123"/>
      <c r="F775" s="123"/>
      <c r="H775" s="123"/>
      <c r="J775" s="123"/>
      <c r="L775" s="123"/>
      <c r="N775" s="123"/>
    </row>
    <row r="776" ht="15.75" hidden="1" customHeight="1">
      <c r="B776" s="123"/>
      <c r="D776" s="123"/>
      <c r="F776" s="123"/>
      <c r="H776" s="123"/>
      <c r="J776" s="123"/>
      <c r="L776" s="123"/>
      <c r="N776" s="123"/>
    </row>
    <row r="777" ht="15.75" hidden="1" customHeight="1">
      <c r="B777" s="123"/>
      <c r="D777" s="123"/>
      <c r="F777" s="123"/>
      <c r="H777" s="123"/>
      <c r="J777" s="123"/>
      <c r="L777" s="123"/>
      <c r="N777" s="123"/>
    </row>
    <row r="778" ht="15.75" hidden="1" customHeight="1">
      <c r="B778" s="123"/>
      <c r="D778" s="123"/>
      <c r="F778" s="123"/>
      <c r="H778" s="123"/>
      <c r="J778" s="123"/>
      <c r="L778" s="123"/>
      <c r="N778" s="123"/>
    </row>
    <row r="779" ht="15.75" hidden="1" customHeight="1">
      <c r="B779" s="123"/>
      <c r="D779" s="123"/>
      <c r="F779" s="123"/>
      <c r="H779" s="123"/>
      <c r="J779" s="123"/>
      <c r="L779" s="123"/>
      <c r="N779" s="123"/>
    </row>
    <row r="780" ht="15.75" hidden="1" customHeight="1">
      <c r="B780" s="123"/>
      <c r="D780" s="123"/>
      <c r="F780" s="123"/>
      <c r="H780" s="123"/>
      <c r="J780" s="123"/>
      <c r="L780" s="123"/>
      <c r="N780" s="123"/>
    </row>
    <row r="781" ht="15.75" hidden="1" customHeight="1">
      <c r="B781" s="123"/>
      <c r="D781" s="123"/>
      <c r="F781" s="123"/>
      <c r="H781" s="123"/>
      <c r="J781" s="123"/>
      <c r="L781" s="123"/>
      <c r="N781" s="123"/>
    </row>
    <row r="782" ht="15.75" hidden="1" customHeight="1">
      <c r="B782" s="123"/>
      <c r="D782" s="123"/>
      <c r="F782" s="123"/>
      <c r="H782" s="123"/>
      <c r="J782" s="123"/>
      <c r="L782" s="123"/>
      <c r="N782" s="123"/>
    </row>
    <row r="783" ht="15.75" hidden="1" customHeight="1">
      <c r="B783" s="123"/>
      <c r="D783" s="123"/>
      <c r="F783" s="123"/>
      <c r="H783" s="123"/>
      <c r="J783" s="123"/>
      <c r="L783" s="123"/>
      <c r="N783" s="123"/>
    </row>
    <row r="784" ht="15.75" hidden="1" customHeight="1">
      <c r="B784" s="123"/>
      <c r="D784" s="123"/>
      <c r="F784" s="123"/>
      <c r="H784" s="123"/>
      <c r="J784" s="123"/>
      <c r="L784" s="123"/>
      <c r="N784" s="123"/>
    </row>
    <row r="785" ht="15.75" hidden="1" customHeight="1">
      <c r="B785" s="123"/>
      <c r="D785" s="123"/>
      <c r="F785" s="123"/>
      <c r="H785" s="123"/>
      <c r="J785" s="123"/>
      <c r="L785" s="123"/>
      <c r="N785" s="123"/>
    </row>
    <row r="786" ht="15.75" hidden="1" customHeight="1">
      <c r="B786" s="123"/>
      <c r="D786" s="123"/>
      <c r="F786" s="123"/>
      <c r="H786" s="123"/>
      <c r="J786" s="123"/>
      <c r="L786" s="123"/>
      <c r="N786" s="123"/>
    </row>
    <row r="787" ht="15.75" hidden="1" customHeight="1">
      <c r="B787" s="123"/>
      <c r="D787" s="123"/>
      <c r="F787" s="123"/>
      <c r="H787" s="123"/>
      <c r="J787" s="123"/>
      <c r="L787" s="123"/>
      <c r="N787" s="123"/>
    </row>
    <row r="788" ht="15.75" hidden="1" customHeight="1">
      <c r="B788" s="123"/>
      <c r="D788" s="123"/>
      <c r="F788" s="123"/>
      <c r="H788" s="123"/>
      <c r="J788" s="123"/>
      <c r="L788" s="123"/>
      <c r="N788" s="123"/>
    </row>
    <row r="789" ht="15.75" hidden="1" customHeight="1">
      <c r="B789" s="123"/>
      <c r="D789" s="123"/>
      <c r="F789" s="123"/>
      <c r="H789" s="123"/>
      <c r="J789" s="123"/>
      <c r="L789" s="123"/>
      <c r="N789" s="123"/>
    </row>
    <row r="790" ht="15.75" hidden="1" customHeight="1">
      <c r="B790" s="123"/>
      <c r="D790" s="123"/>
      <c r="F790" s="123"/>
      <c r="H790" s="123"/>
      <c r="J790" s="123"/>
      <c r="L790" s="123"/>
      <c r="N790" s="123"/>
    </row>
    <row r="791" ht="15.75" hidden="1" customHeight="1">
      <c r="B791" s="123"/>
      <c r="D791" s="123"/>
      <c r="F791" s="123"/>
      <c r="H791" s="123"/>
      <c r="J791" s="123"/>
      <c r="L791" s="123"/>
      <c r="N791" s="123"/>
    </row>
    <row r="792" ht="15.75" hidden="1" customHeight="1">
      <c r="B792" s="123"/>
      <c r="D792" s="123"/>
      <c r="F792" s="123"/>
      <c r="H792" s="123"/>
      <c r="J792" s="123"/>
      <c r="L792" s="123"/>
      <c r="N792" s="123"/>
    </row>
    <row r="793" ht="15.75" hidden="1" customHeight="1">
      <c r="B793" s="123"/>
      <c r="D793" s="123"/>
      <c r="F793" s="123"/>
      <c r="H793" s="123"/>
      <c r="J793" s="123"/>
      <c r="L793" s="123"/>
      <c r="N793" s="123"/>
    </row>
    <row r="794" ht="15.75" hidden="1" customHeight="1">
      <c r="B794" s="123"/>
      <c r="D794" s="123"/>
      <c r="F794" s="123"/>
      <c r="H794" s="123"/>
      <c r="J794" s="123"/>
      <c r="L794" s="123"/>
      <c r="N794" s="123"/>
    </row>
    <row r="795" ht="15.75" hidden="1" customHeight="1">
      <c r="B795" s="123"/>
      <c r="D795" s="123"/>
      <c r="F795" s="123"/>
      <c r="H795" s="123"/>
      <c r="J795" s="123"/>
      <c r="L795" s="123"/>
      <c r="N795" s="123"/>
    </row>
    <row r="796" ht="15.75" hidden="1" customHeight="1">
      <c r="B796" s="123"/>
      <c r="D796" s="123"/>
      <c r="F796" s="123"/>
      <c r="H796" s="123"/>
      <c r="J796" s="123"/>
      <c r="L796" s="123"/>
      <c r="N796" s="123"/>
    </row>
    <row r="797" ht="15.75" hidden="1" customHeight="1">
      <c r="B797" s="123"/>
      <c r="D797" s="123"/>
      <c r="F797" s="123"/>
      <c r="H797" s="123"/>
      <c r="J797" s="123"/>
      <c r="L797" s="123"/>
      <c r="N797" s="123"/>
    </row>
    <row r="798" ht="15.75" hidden="1" customHeight="1">
      <c r="B798" s="123"/>
      <c r="D798" s="123"/>
      <c r="F798" s="123"/>
      <c r="H798" s="123"/>
      <c r="J798" s="123"/>
      <c r="L798" s="123"/>
      <c r="N798" s="123"/>
    </row>
    <row r="799" ht="15.75" hidden="1" customHeight="1">
      <c r="B799" s="123"/>
      <c r="D799" s="123"/>
      <c r="F799" s="123"/>
      <c r="H799" s="123"/>
      <c r="J799" s="123"/>
      <c r="L799" s="123"/>
      <c r="N799" s="123"/>
    </row>
    <row r="800" ht="15.75" hidden="1" customHeight="1">
      <c r="B800" s="123"/>
      <c r="D800" s="123"/>
      <c r="F800" s="123"/>
      <c r="H800" s="123"/>
      <c r="J800" s="123"/>
      <c r="L800" s="123"/>
      <c r="N800" s="123"/>
    </row>
    <row r="801" ht="15.75" hidden="1" customHeight="1">
      <c r="B801" s="123"/>
      <c r="D801" s="123"/>
      <c r="F801" s="123"/>
      <c r="H801" s="123"/>
      <c r="J801" s="123"/>
      <c r="L801" s="123"/>
      <c r="N801" s="123"/>
    </row>
    <row r="802" ht="15.75" hidden="1" customHeight="1">
      <c r="B802" s="123"/>
      <c r="D802" s="123"/>
      <c r="F802" s="123"/>
      <c r="H802" s="123"/>
      <c r="J802" s="123"/>
      <c r="L802" s="123"/>
      <c r="N802" s="123"/>
    </row>
    <row r="803" ht="15.75" hidden="1" customHeight="1">
      <c r="B803" s="123"/>
      <c r="D803" s="123"/>
      <c r="F803" s="123"/>
      <c r="H803" s="123"/>
      <c r="J803" s="123"/>
      <c r="L803" s="123"/>
      <c r="N803" s="123"/>
    </row>
    <row r="804" ht="15.75" hidden="1" customHeight="1">
      <c r="B804" s="123"/>
      <c r="D804" s="123"/>
      <c r="F804" s="123"/>
      <c r="H804" s="123"/>
      <c r="J804" s="123"/>
      <c r="L804" s="123"/>
      <c r="N804" s="123"/>
    </row>
    <row r="805" ht="15.75" hidden="1" customHeight="1">
      <c r="B805" s="123"/>
      <c r="D805" s="123"/>
      <c r="F805" s="123"/>
      <c r="H805" s="123"/>
      <c r="J805" s="123"/>
      <c r="L805" s="123"/>
      <c r="N805" s="123"/>
    </row>
    <row r="806" ht="15.75" hidden="1" customHeight="1">
      <c r="B806" s="123"/>
      <c r="D806" s="123"/>
      <c r="F806" s="123"/>
      <c r="H806" s="123"/>
      <c r="J806" s="123"/>
      <c r="L806" s="123"/>
      <c r="N806" s="123"/>
    </row>
    <row r="807" ht="15.75" hidden="1" customHeight="1">
      <c r="B807" s="123"/>
      <c r="D807" s="123"/>
      <c r="F807" s="123"/>
      <c r="H807" s="123"/>
      <c r="J807" s="123"/>
      <c r="L807" s="123"/>
      <c r="N807" s="123"/>
    </row>
    <row r="808" ht="15.75" hidden="1" customHeight="1">
      <c r="B808" s="123"/>
      <c r="D808" s="123"/>
      <c r="F808" s="123"/>
      <c r="H808" s="123"/>
      <c r="J808" s="123"/>
      <c r="L808" s="123"/>
      <c r="N808" s="123"/>
    </row>
    <row r="809" ht="15.75" hidden="1" customHeight="1">
      <c r="B809" s="123"/>
      <c r="D809" s="123"/>
      <c r="F809" s="123"/>
      <c r="H809" s="123"/>
      <c r="J809" s="123"/>
      <c r="L809" s="123"/>
      <c r="N809" s="123"/>
    </row>
    <row r="810" ht="15.75" hidden="1" customHeight="1">
      <c r="B810" s="123"/>
      <c r="D810" s="123"/>
      <c r="F810" s="123"/>
      <c r="H810" s="123"/>
      <c r="J810" s="123"/>
      <c r="L810" s="123"/>
      <c r="N810" s="123"/>
    </row>
    <row r="811" ht="15.75" hidden="1" customHeight="1">
      <c r="B811" s="123"/>
      <c r="D811" s="123"/>
      <c r="F811" s="123"/>
      <c r="H811" s="123"/>
      <c r="J811" s="123"/>
      <c r="L811" s="123"/>
      <c r="N811" s="123"/>
    </row>
    <row r="812" ht="15.75" hidden="1" customHeight="1">
      <c r="B812" s="123"/>
      <c r="D812" s="123"/>
      <c r="F812" s="123"/>
      <c r="H812" s="123"/>
      <c r="J812" s="123"/>
      <c r="L812" s="123"/>
      <c r="N812" s="123"/>
    </row>
    <row r="813" ht="15.75" hidden="1" customHeight="1">
      <c r="B813" s="123"/>
      <c r="D813" s="123"/>
      <c r="F813" s="123"/>
      <c r="H813" s="123"/>
      <c r="J813" s="123"/>
      <c r="L813" s="123"/>
      <c r="N813" s="123"/>
    </row>
    <row r="814" ht="15.75" hidden="1" customHeight="1">
      <c r="B814" s="123"/>
      <c r="D814" s="123"/>
      <c r="F814" s="123"/>
      <c r="H814" s="123"/>
      <c r="J814" s="123"/>
      <c r="L814" s="123"/>
      <c r="N814" s="123"/>
    </row>
    <row r="815" ht="15.75" hidden="1" customHeight="1">
      <c r="B815" s="123"/>
      <c r="D815" s="123"/>
      <c r="F815" s="123"/>
      <c r="H815" s="123"/>
      <c r="J815" s="123"/>
      <c r="L815" s="123"/>
      <c r="N815" s="123"/>
    </row>
    <row r="816" ht="15.75" hidden="1" customHeight="1">
      <c r="B816" s="123"/>
      <c r="D816" s="123"/>
      <c r="F816" s="123"/>
      <c r="H816" s="123"/>
      <c r="J816" s="123"/>
      <c r="L816" s="123"/>
      <c r="N816" s="123"/>
    </row>
    <row r="817" ht="15.75" hidden="1" customHeight="1">
      <c r="B817" s="123"/>
      <c r="D817" s="123"/>
      <c r="F817" s="123"/>
      <c r="H817" s="123"/>
      <c r="J817" s="123"/>
      <c r="L817" s="123"/>
      <c r="N817" s="123"/>
    </row>
    <row r="818" ht="15.75" hidden="1" customHeight="1">
      <c r="B818" s="123"/>
      <c r="D818" s="123"/>
      <c r="F818" s="123"/>
      <c r="H818" s="123"/>
      <c r="J818" s="123"/>
      <c r="L818" s="123"/>
      <c r="N818" s="123"/>
    </row>
    <row r="819" ht="15.75" hidden="1" customHeight="1">
      <c r="B819" s="123"/>
      <c r="D819" s="123"/>
      <c r="F819" s="123"/>
      <c r="H819" s="123"/>
      <c r="J819" s="123"/>
      <c r="L819" s="123"/>
      <c r="N819" s="123"/>
    </row>
    <row r="820" ht="15.75" hidden="1" customHeight="1">
      <c r="B820" s="123"/>
      <c r="D820" s="123"/>
      <c r="F820" s="123"/>
      <c r="H820" s="123"/>
      <c r="J820" s="123"/>
      <c r="L820" s="123"/>
      <c r="N820" s="123"/>
    </row>
    <row r="821" ht="15.75" hidden="1" customHeight="1">
      <c r="B821" s="123"/>
      <c r="D821" s="123"/>
      <c r="F821" s="123"/>
      <c r="H821" s="123"/>
      <c r="J821" s="123"/>
      <c r="L821" s="123"/>
      <c r="N821" s="123"/>
    </row>
    <row r="822" ht="15.75" hidden="1" customHeight="1">
      <c r="B822" s="123"/>
      <c r="D822" s="123"/>
      <c r="F822" s="123"/>
      <c r="H822" s="123"/>
      <c r="J822" s="123"/>
      <c r="L822" s="123"/>
      <c r="N822" s="123"/>
    </row>
    <row r="823" ht="15.75" hidden="1" customHeight="1">
      <c r="B823" s="123"/>
      <c r="D823" s="123"/>
      <c r="F823" s="123"/>
      <c r="H823" s="123"/>
      <c r="J823" s="123"/>
      <c r="L823" s="123"/>
      <c r="N823" s="123"/>
    </row>
    <row r="824" ht="15.75" hidden="1" customHeight="1">
      <c r="B824" s="123"/>
      <c r="D824" s="123"/>
      <c r="F824" s="123"/>
      <c r="H824" s="123"/>
      <c r="J824" s="123"/>
      <c r="L824" s="123"/>
      <c r="N824" s="123"/>
    </row>
    <row r="825" ht="15.75" hidden="1" customHeight="1">
      <c r="B825" s="123"/>
      <c r="D825" s="123"/>
      <c r="F825" s="123"/>
      <c r="H825" s="123"/>
      <c r="J825" s="123"/>
      <c r="L825" s="123"/>
      <c r="N825" s="123"/>
    </row>
    <row r="826" ht="15.75" hidden="1" customHeight="1">
      <c r="B826" s="123"/>
      <c r="D826" s="123"/>
      <c r="F826" s="123"/>
      <c r="H826" s="123"/>
      <c r="J826" s="123"/>
      <c r="L826" s="123"/>
      <c r="N826" s="123"/>
    </row>
    <row r="827" ht="15.75" hidden="1" customHeight="1">
      <c r="B827" s="123"/>
      <c r="D827" s="123"/>
      <c r="F827" s="123"/>
      <c r="H827" s="123"/>
      <c r="J827" s="123"/>
      <c r="L827" s="123"/>
      <c r="N827" s="123"/>
    </row>
    <row r="828" ht="15.75" hidden="1" customHeight="1">
      <c r="B828" s="123"/>
      <c r="D828" s="123"/>
      <c r="F828" s="123"/>
      <c r="H828" s="123"/>
      <c r="J828" s="123"/>
      <c r="L828" s="123"/>
      <c r="N828" s="123"/>
    </row>
    <row r="829" ht="15.75" hidden="1" customHeight="1">
      <c r="B829" s="123"/>
      <c r="D829" s="123"/>
      <c r="F829" s="123"/>
      <c r="H829" s="123"/>
      <c r="J829" s="123"/>
      <c r="L829" s="123"/>
      <c r="N829" s="123"/>
    </row>
    <row r="830" ht="15.75" hidden="1" customHeight="1">
      <c r="B830" s="123"/>
      <c r="D830" s="123"/>
      <c r="F830" s="123"/>
      <c r="H830" s="123"/>
      <c r="J830" s="123"/>
      <c r="L830" s="123"/>
      <c r="N830" s="123"/>
    </row>
    <row r="831" ht="15.75" hidden="1" customHeight="1">
      <c r="B831" s="123"/>
      <c r="D831" s="123"/>
      <c r="F831" s="123"/>
      <c r="H831" s="123"/>
      <c r="J831" s="123"/>
      <c r="L831" s="123"/>
      <c r="N831" s="123"/>
    </row>
    <row r="832" ht="15.75" hidden="1" customHeight="1">
      <c r="B832" s="123"/>
      <c r="D832" s="123"/>
      <c r="F832" s="123"/>
      <c r="H832" s="123"/>
      <c r="J832" s="123"/>
      <c r="L832" s="123"/>
      <c r="N832" s="123"/>
    </row>
    <row r="833" ht="15.75" hidden="1" customHeight="1">
      <c r="B833" s="123"/>
      <c r="D833" s="123"/>
      <c r="F833" s="123"/>
      <c r="H833" s="123"/>
      <c r="J833" s="123"/>
      <c r="L833" s="123"/>
      <c r="N833" s="123"/>
    </row>
    <row r="834" ht="15.75" hidden="1" customHeight="1">
      <c r="B834" s="123"/>
      <c r="D834" s="123"/>
      <c r="F834" s="123"/>
      <c r="H834" s="123"/>
      <c r="J834" s="123"/>
      <c r="L834" s="123"/>
      <c r="N834" s="123"/>
    </row>
    <row r="835" ht="15.75" hidden="1" customHeight="1">
      <c r="B835" s="123"/>
      <c r="D835" s="123"/>
      <c r="F835" s="123"/>
      <c r="H835" s="123"/>
      <c r="J835" s="123"/>
      <c r="L835" s="123"/>
      <c r="N835" s="123"/>
    </row>
    <row r="836" ht="15.75" hidden="1" customHeight="1">
      <c r="B836" s="123"/>
      <c r="D836" s="123"/>
      <c r="F836" s="123"/>
      <c r="H836" s="123"/>
      <c r="J836" s="123"/>
      <c r="L836" s="123"/>
      <c r="N836" s="123"/>
    </row>
    <row r="837" ht="15.75" hidden="1" customHeight="1">
      <c r="B837" s="123"/>
      <c r="D837" s="123"/>
      <c r="F837" s="123"/>
      <c r="H837" s="123"/>
      <c r="J837" s="123"/>
      <c r="L837" s="123"/>
      <c r="N837" s="123"/>
    </row>
    <row r="838" ht="15.75" hidden="1" customHeight="1">
      <c r="B838" s="123"/>
      <c r="D838" s="123"/>
      <c r="F838" s="123"/>
      <c r="H838" s="123"/>
      <c r="J838" s="123"/>
      <c r="L838" s="123"/>
      <c r="N838" s="123"/>
    </row>
    <row r="839" ht="15.75" hidden="1" customHeight="1">
      <c r="B839" s="123"/>
      <c r="D839" s="123"/>
      <c r="F839" s="123"/>
      <c r="H839" s="123"/>
      <c r="J839" s="123"/>
      <c r="L839" s="123"/>
      <c r="N839" s="123"/>
    </row>
    <row r="840" ht="15.75" hidden="1" customHeight="1">
      <c r="B840" s="123"/>
      <c r="D840" s="123"/>
      <c r="F840" s="123"/>
      <c r="H840" s="123"/>
      <c r="J840" s="123"/>
      <c r="L840" s="123"/>
      <c r="N840" s="123"/>
    </row>
    <row r="841" ht="15.75" hidden="1" customHeight="1">
      <c r="B841" s="123"/>
      <c r="D841" s="123"/>
      <c r="F841" s="123"/>
      <c r="H841" s="123"/>
      <c r="J841" s="123"/>
      <c r="L841" s="123"/>
      <c r="N841" s="123"/>
    </row>
    <row r="842" ht="15.75" hidden="1" customHeight="1">
      <c r="B842" s="123"/>
      <c r="D842" s="123"/>
      <c r="F842" s="123"/>
      <c r="H842" s="123"/>
      <c r="J842" s="123"/>
      <c r="L842" s="123"/>
      <c r="N842" s="123"/>
    </row>
    <row r="843" ht="15.75" hidden="1" customHeight="1">
      <c r="B843" s="123"/>
      <c r="D843" s="123"/>
      <c r="F843" s="123"/>
      <c r="H843" s="123"/>
      <c r="J843" s="123"/>
      <c r="L843" s="123"/>
      <c r="N843" s="123"/>
    </row>
    <row r="844" ht="15.75" hidden="1" customHeight="1">
      <c r="B844" s="123"/>
      <c r="D844" s="123"/>
      <c r="F844" s="123"/>
      <c r="H844" s="123"/>
      <c r="J844" s="123"/>
      <c r="L844" s="123"/>
      <c r="N844" s="123"/>
    </row>
    <row r="845" ht="15.75" hidden="1" customHeight="1">
      <c r="B845" s="123"/>
      <c r="D845" s="123"/>
      <c r="F845" s="123"/>
      <c r="H845" s="123"/>
      <c r="J845" s="123"/>
      <c r="L845" s="123"/>
      <c r="N845" s="123"/>
    </row>
    <row r="846" ht="15.75" hidden="1" customHeight="1">
      <c r="B846" s="123"/>
      <c r="D846" s="123"/>
      <c r="F846" s="123"/>
      <c r="H846" s="123"/>
      <c r="J846" s="123"/>
      <c r="L846" s="123"/>
      <c r="N846" s="123"/>
    </row>
    <row r="847" ht="15.75" hidden="1" customHeight="1">
      <c r="B847" s="123"/>
      <c r="D847" s="123"/>
      <c r="F847" s="123"/>
      <c r="H847" s="123"/>
      <c r="J847" s="123"/>
      <c r="L847" s="123"/>
      <c r="N847" s="123"/>
    </row>
    <row r="848" ht="15.75" hidden="1" customHeight="1">
      <c r="B848" s="123"/>
      <c r="D848" s="123"/>
      <c r="F848" s="123"/>
      <c r="H848" s="123"/>
      <c r="J848" s="123"/>
      <c r="L848" s="123"/>
      <c r="N848" s="123"/>
    </row>
    <row r="849" ht="15.75" hidden="1" customHeight="1">
      <c r="B849" s="123"/>
      <c r="D849" s="123"/>
      <c r="F849" s="123"/>
      <c r="H849" s="123"/>
      <c r="J849" s="123"/>
      <c r="L849" s="123"/>
      <c r="N849" s="123"/>
    </row>
    <row r="850" ht="15.75" hidden="1" customHeight="1">
      <c r="B850" s="123"/>
      <c r="D850" s="123"/>
      <c r="F850" s="123"/>
      <c r="H850" s="123"/>
      <c r="J850" s="123"/>
      <c r="L850" s="123"/>
      <c r="N850" s="123"/>
    </row>
    <row r="851" ht="15.75" hidden="1" customHeight="1">
      <c r="B851" s="123"/>
      <c r="D851" s="123"/>
      <c r="F851" s="123"/>
      <c r="H851" s="123"/>
      <c r="J851" s="123"/>
      <c r="L851" s="123"/>
      <c r="N851" s="123"/>
    </row>
    <row r="852" ht="15.75" hidden="1" customHeight="1">
      <c r="B852" s="123"/>
      <c r="D852" s="123"/>
      <c r="F852" s="123"/>
      <c r="H852" s="123"/>
      <c r="J852" s="123"/>
      <c r="L852" s="123"/>
      <c r="N852" s="123"/>
    </row>
    <row r="853" ht="15.75" hidden="1" customHeight="1">
      <c r="B853" s="123"/>
      <c r="D853" s="123"/>
      <c r="F853" s="123"/>
      <c r="H853" s="123"/>
      <c r="J853" s="123"/>
      <c r="L853" s="123"/>
      <c r="N853" s="123"/>
    </row>
    <row r="854" ht="15.75" hidden="1" customHeight="1">
      <c r="B854" s="123"/>
      <c r="D854" s="123"/>
      <c r="F854" s="123"/>
      <c r="H854" s="123"/>
      <c r="J854" s="123"/>
      <c r="L854" s="123"/>
      <c r="N854" s="123"/>
    </row>
    <row r="855" ht="15.75" hidden="1" customHeight="1">
      <c r="B855" s="123"/>
      <c r="D855" s="123"/>
      <c r="F855" s="123"/>
      <c r="H855" s="123"/>
      <c r="J855" s="123"/>
      <c r="L855" s="123"/>
      <c r="N855" s="123"/>
    </row>
    <row r="856" ht="15.75" hidden="1" customHeight="1">
      <c r="B856" s="123"/>
      <c r="D856" s="123"/>
      <c r="F856" s="123"/>
      <c r="H856" s="123"/>
      <c r="J856" s="123"/>
      <c r="L856" s="123"/>
      <c r="N856" s="123"/>
    </row>
    <row r="857" ht="15.75" hidden="1" customHeight="1">
      <c r="B857" s="123"/>
      <c r="D857" s="123"/>
      <c r="F857" s="123"/>
      <c r="H857" s="123"/>
      <c r="J857" s="123"/>
      <c r="L857" s="123"/>
      <c r="N857" s="123"/>
    </row>
    <row r="858" ht="15.75" hidden="1" customHeight="1">
      <c r="B858" s="123"/>
      <c r="D858" s="123"/>
      <c r="F858" s="123"/>
      <c r="H858" s="123"/>
      <c r="J858" s="123"/>
      <c r="L858" s="123"/>
      <c r="N858" s="123"/>
    </row>
    <row r="859" ht="15.75" hidden="1" customHeight="1">
      <c r="B859" s="123"/>
      <c r="D859" s="123"/>
      <c r="F859" s="123"/>
      <c r="H859" s="123"/>
      <c r="J859" s="123"/>
      <c r="L859" s="123"/>
      <c r="N859" s="123"/>
    </row>
    <row r="860" ht="15.75" hidden="1" customHeight="1">
      <c r="B860" s="123"/>
      <c r="D860" s="123"/>
      <c r="F860" s="123"/>
      <c r="H860" s="123"/>
      <c r="J860" s="123"/>
      <c r="L860" s="123"/>
      <c r="N860" s="123"/>
    </row>
    <row r="861" ht="15.75" hidden="1" customHeight="1">
      <c r="B861" s="123"/>
      <c r="D861" s="123"/>
      <c r="F861" s="123"/>
      <c r="H861" s="123"/>
      <c r="J861" s="123"/>
      <c r="L861" s="123"/>
      <c r="N861" s="123"/>
    </row>
    <row r="862" ht="15.75" hidden="1" customHeight="1">
      <c r="B862" s="123"/>
      <c r="D862" s="123"/>
      <c r="F862" s="123"/>
      <c r="H862" s="123"/>
      <c r="J862" s="123"/>
      <c r="L862" s="123"/>
      <c r="N862" s="123"/>
    </row>
    <row r="863" ht="15.75" hidden="1" customHeight="1">
      <c r="B863" s="123"/>
      <c r="D863" s="123"/>
      <c r="F863" s="123"/>
      <c r="H863" s="123"/>
      <c r="J863" s="123"/>
      <c r="L863" s="123"/>
      <c r="N863" s="123"/>
    </row>
    <row r="864" ht="15.75" hidden="1" customHeight="1">
      <c r="B864" s="123"/>
      <c r="D864" s="123"/>
      <c r="F864" s="123"/>
      <c r="H864" s="123"/>
      <c r="J864" s="123"/>
      <c r="L864" s="123"/>
      <c r="N864" s="123"/>
    </row>
    <row r="865" ht="15.75" hidden="1" customHeight="1">
      <c r="B865" s="123"/>
      <c r="D865" s="123"/>
      <c r="F865" s="123"/>
      <c r="H865" s="123"/>
      <c r="J865" s="123"/>
      <c r="L865" s="123"/>
      <c r="N865" s="123"/>
    </row>
    <row r="866" ht="15.75" hidden="1" customHeight="1">
      <c r="B866" s="123"/>
      <c r="D866" s="123"/>
      <c r="F866" s="123"/>
      <c r="H866" s="123"/>
      <c r="J866" s="123"/>
      <c r="L866" s="123"/>
      <c r="N866" s="123"/>
    </row>
    <row r="867" ht="15.75" hidden="1" customHeight="1">
      <c r="B867" s="123"/>
      <c r="D867" s="123"/>
      <c r="F867" s="123"/>
      <c r="H867" s="123"/>
      <c r="J867" s="123"/>
      <c r="L867" s="123"/>
      <c r="N867" s="123"/>
    </row>
    <row r="868" ht="15.75" hidden="1" customHeight="1">
      <c r="B868" s="123"/>
      <c r="D868" s="123"/>
      <c r="F868" s="123"/>
      <c r="H868" s="123"/>
      <c r="J868" s="123"/>
      <c r="L868" s="123"/>
      <c r="N868" s="123"/>
    </row>
    <row r="869" ht="15.75" hidden="1" customHeight="1">
      <c r="B869" s="123"/>
      <c r="D869" s="123"/>
      <c r="F869" s="123"/>
      <c r="H869" s="123"/>
      <c r="J869" s="123"/>
      <c r="L869" s="123"/>
      <c r="N869" s="123"/>
    </row>
    <row r="870" ht="15.75" hidden="1" customHeight="1">
      <c r="B870" s="123"/>
      <c r="D870" s="123"/>
      <c r="F870" s="123"/>
      <c r="H870" s="123"/>
      <c r="J870" s="123"/>
      <c r="L870" s="123"/>
      <c r="N870" s="123"/>
    </row>
    <row r="871" ht="15.75" hidden="1" customHeight="1">
      <c r="B871" s="123"/>
      <c r="D871" s="123"/>
      <c r="F871" s="123"/>
      <c r="H871" s="123"/>
      <c r="J871" s="123"/>
      <c r="L871" s="123"/>
      <c r="N871" s="123"/>
    </row>
    <row r="872" ht="15.75" hidden="1" customHeight="1">
      <c r="B872" s="123"/>
      <c r="D872" s="123"/>
      <c r="F872" s="123"/>
      <c r="H872" s="123"/>
      <c r="J872" s="123"/>
      <c r="L872" s="123"/>
      <c r="N872" s="123"/>
    </row>
    <row r="873" ht="15.75" hidden="1" customHeight="1">
      <c r="B873" s="123"/>
      <c r="D873" s="123"/>
      <c r="F873" s="123"/>
      <c r="H873" s="123"/>
      <c r="J873" s="123"/>
      <c r="L873" s="123"/>
      <c r="N873" s="123"/>
    </row>
    <row r="874" ht="15.75" hidden="1" customHeight="1">
      <c r="B874" s="123"/>
      <c r="D874" s="123"/>
      <c r="F874" s="123"/>
      <c r="H874" s="123"/>
      <c r="J874" s="123"/>
      <c r="L874" s="123"/>
      <c r="N874" s="123"/>
    </row>
    <row r="875" ht="15.75" hidden="1" customHeight="1">
      <c r="B875" s="123"/>
      <c r="D875" s="123"/>
      <c r="F875" s="123"/>
      <c r="H875" s="123"/>
      <c r="J875" s="123"/>
      <c r="L875" s="123"/>
      <c r="N875" s="123"/>
    </row>
    <row r="876" ht="15.75" hidden="1" customHeight="1">
      <c r="B876" s="123"/>
      <c r="D876" s="123"/>
      <c r="F876" s="123"/>
      <c r="H876" s="123"/>
      <c r="J876" s="123"/>
      <c r="L876" s="123"/>
      <c r="N876" s="123"/>
    </row>
    <row r="877" ht="15.75" hidden="1" customHeight="1">
      <c r="B877" s="123"/>
      <c r="D877" s="123"/>
      <c r="F877" s="123"/>
      <c r="H877" s="123"/>
      <c r="J877" s="123"/>
      <c r="L877" s="123"/>
      <c r="N877" s="123"/>
    </row>
    <row r="878" ht="15.75" hidden="1" customHeight="1">
      <c r="B878" s="123"/>
      <c r="D878" s="123"/>
      <c r="F878" s="123"/>
      <c r="H878" s="123"/>
      <c r="J878" s="123"/>
      <c r="L878" s="123"/>
      <c r="N878" s="123"/>
    </row>
    <row r="879" ht="15.75" hidden="1" customHeight="1">
      <c r="B879" s="123"/>
      <c r="D879" s="123"/>
      <c r="F879" s="123"/>
      <c r="H879" s="123"/>
      <c r="J879" s="123"/>
      <c r="L879" s="123"/>
      <c r="N879" s="123"/>
    </row>
    <row r="880" ht="15.75" hidden="1" customHeight="1">
      <c r="B880" s="123"/>
      <c r="D880" s="123"/>
      <c r="F880" s="123"/>
      <c r="H880" s="123"/>
      <c r="J880" s="123"/>
      <c r="L880" s="123"/>
      <c r="N880" s="123"/>
    </row>
    <row r="881" ht="15.75" hidden="1" customHeight="1">
      <c r="B881" s="123"/>
      <c r="D881" s="123"/>
      <c r="F881" s="123"/>
      <c r="H881" s="123"/>
      <c r="J881" s="123"/>
      <c r="L881" s="123"/>
      <c r="N881" s="123"/>
    </row>
    <row r="882" ht="15.75" hidden="1" customHeight="1">
      <c r="B882" s="123"/>
      <c r="D882" s="123"/>
      <c r="F882" s="123"/>
      <c r="H882" s="123"/>
      <c r="J882" s="123"/>
      <c r="L882" s="123"/>
      <c r="N882" s="123"/>
    </row>
    <row r="883" ht="15.75" hidden="1" customHeight="1">
      <c r="B883" s="123"/>
      <c r="D883" s="123"/>
      <c r="F883" s="123"/>
      <c r="H883" s="123"/>
      <c r="J883" s="123"/>
      <c r="L883" s="123"/>
      <c r="N883" s="123"/>
    </row>
    <row r="884" ht="15.75" hidden="1" customHeight="1">
      <c r="B884" s="123"/>
      <c r="D884" s="123"/>
      <c r="F884" s="123"/>
      <c r="H884" s="123"/>
      <c r="J884" s="123"/>
      <c r="L884" s="123"/>
      <c r="N884" s="123"/>
    </row>
    <row r="885" ht="15.75" hidden="1" customHeight="1">
      <c r="B885" s="123"/>
      <c r="D885" s="123"/>
      <c r="F885" s="123"/>
      <c r="H885" s="123"/>
      <c r="J885" s="123"/>
      <c r="L885" s="123"/>
      <c r="N885" s="123"/>
    </row>
    <row r="886" ht="15.75" hidden="1" customHeight="1">
      <c r="B886" s="123"/>
      <c r="D886" s="123"/>
      <c r="F886" s="123"/>
      <c r="H886" s="123"/>
      <c r="J886" s="123"/>
      <c r="L886" s="123"/>
      <c r="N886" s="123"/>
    </row>
    <row r="887" ht="15.75" hidden="1" customHeight="1">
      <c r="B887" s="123"/>
      <c r="D887" s="123"/>
      <c r="F887" s="123"/>
      <c r="H887" s="123"/>
      <c r="J887" s="123"/>
      <c r="L887" s="123"/>
      <c r="N887" s="123"/>
    </row>
    <row r="888" ht="15.75" hidden="1" customHeight="1">
      <c r="B888" s="123"/>
      <c r="D888" s="123"/>
      <c r="F888" s="123"/>
      <c r="H888" s="123"/>
      <c r="J888" s="123"/>
      <c r="L888" s="123"/>
      <c r="N888" s="123"/>
    </row>
    <row r="889" ht="15.75" hidden="1" customHeight="1">
      <c r="B889" s="123"/>
      <c r="D889" s="123"/>
      <c r="F889" s="123"/>
      <c r="H889" s="123"/>
      <c r="J889" s="123"/>
      <c r="L889" s="123"/>
      <c r="N889" s="123"/>
    </row>
    <row r="890" ht="15.75" hidden="1" customHeight="1">
      <c r="B890" s="123"/>
      <c r="D890" s="123"/>
      <c r="F890" s="123"/>
      <c r="H890" s="123"/>
      <c r="J890" s="123"/>
      <c r="L890" s="123"/>
      <c r="N890" s="123"/>
    </row>
    <row r="891" ht="15.75" hidden="1" customHeight="1">
      <c r="B891" s="123"/>
      <c r="D891" s="123"/>
      <c r="F891" s="123"/>
      <c r="H891" s="123"/>
      <c r="J891" s="123"/>
      <c r="L891" s="123"/>
      <c r="N891" s="123"/>
    </row>
    <row r="892" ht="15.75" hidden="1" customHeight="1">
      <c r="B892" s="123"/>
      <c r="D892" s="123"/>
      <c r="F892" s="123"/>
      <c r="H892" s="123"/>
      <c r="J892" s="123"/>
      <c r="L892" s="123"/>
      <c r="N892" s="123"/>
    </row>
    <row r="893" ht="15.75" hidden="1" customHeight="1">
      <c r="B893" s="123"/>
      <c r="D893" s="123"/>
      <c r="F893" s="123"/>
      <c r="H893" s="123"/>
      <c r="J893" s="123"/>
      <c r="L893" s="123"/>
      <c r="N893" s="123"/>
    </row>
    <row r="894" ht="15.75" hidden="1" customHeight="1">
      <c r="B894" s="123"/>
      <c r="D894" s="123"/>
      <c r="F894" s="123"/>
      <c r="H894" s="123"/>
      <c r="J894" s="123"/>
      <c r="L894" s="123"/>
      <c r="N894" s="123"/>
    </row>
    <row r="895" ht="15.75" hidden="1" customHeight="1">
      <c r="B895" s="123"/>
      <c r="D895" s="123"/>
      <c r="F895" s="123"/>
      <c r="H895" s="123"/>
      <c r="J895" s="123"/>
      <c r="L895" s="123"/>
      <c r="N895" s="123"/>
    </row>
    <row r="896" ht="15.75" hidden="1" customHeight="1">
      <c r="B896" s="123"/>
      <c r="D896" s="123"/>
      <c r="F896" s="123"/>
      <c r="H896" s="123"/>
      <c r="J896" s="123"/>
      <c r="L896" s="123"/>
      <c r="N896" s="123"/>
    </row>
    <row r="897" ht="15.75" hidden="1" customHeight="1">
      <c r="B897" s="123"/>
      <c r="D897" s="123"/>
      <c r="F897" s="123"/>
      <c r="H897" s="123"/>
      <c r="J897" s="123"/>
      <c r="L897" s="123"/>
      <c r="N897" s="123"/>
    </row>
    <row r="898" ht="15.75" hidden="1" customHeight="1">
      <c r="B898" s="123"/>
      <c r="D898" s="123"/>
      <c r="F898" s="123"/>
      <c r="H898" s="123"/>
      <c r="J898" s="123"/>
      <c r="L898" s="123"/>
      <c r="N898" s="123"/>
    </row>
    <row r="899" ht="15.75" hidden="1" customHeight="1">
      <c r="B899" s="123"/>
      <c r="D899" s="123"/>
      <c r="F899" s="123"/>
      <c r="H899" s="123"/>
      <c r="J899" s="123"/>
      <c r="L899" s="123"/>
      <c r="N899" s="123"/>
    </row>
    <row r="900" ht="15.75" hidden="1" customHeight="1">
      <c r="B900" s="123"/>
      <c r="D900" s="123"/>
      <c r="F900" s="123"/>
      <c r="H900" s="123"/>
      <c r="J900" s="123"/>
      <c r="L900" s="123"/>
      <c r="N900" s="123"/>
    </row>
    <row r="901" ht="15.75" hidden="1" customHeight="1">
      <c r="B901" s="123"/>
      <c r="D901" s="123"/>
      <c r="F901" s="123"/>
      <c r="H901" s="123"/>
      <c r="J901" s="123"/>
      <c r="L901" s="123"/>
      <c r="N901" s="123"/>
    </row>
    <row r="902" ht="15.75" hidden="1" customHeight="1">
      <c r="B902" s="123"/>
      <c r="D902" s="123"/>
      <c r="F902" s="123"/>
      <c r="H902" s="123"/>
      <c r="J902" s="123"/>
      <c r="L902" s="123"/>
      <c r="N902" s="123"/>
    </row>
    <row r="903" ht="15.75" hidden="1" customHeight="1">
      <c r="B903" s="123"/>
      <c r="D903" s="123"/>
      <c r="F903" s="123"/>
      <c r="H903" s="123"/>
      <c r="J903" s="123"/>
      <c r="L903" s="123"/>
      <c r="N903" s="123"/>
    </row>
    <row r="904" ht="15.75" hidden="1" customHeight="1">
      <c r="B904" s="123"/>
      <c r="D904" s="123"/>
      <c r="F904" s="123"/>
      <c r="H904" s="123"/>
      <c r="J904" s="123"/>
      <c r="L904" s="123"/>
      <c r="N904" s="123"/>
    </row>
    <row r="905" ht="15.75" hidden="1" customHeight="1">
      <c r="B905" s="123"/>
      <c r="D905" s="123"/>
      <c r="F905" s="123"/>
      <c r="H905" s="123"/>
      <c r="J905" s="123"/>
      <c r="L905" s="123"/>
      <c r="N905" s="123"/>
    </row>
    <row r="906" ht="15.75" hidden="1" customHeight="1">
      <c r="B906" s="123"/>
      <c r="D906" s="123"/>
      <c r="F906" s="123"/>
      <c r="H906" s="123"/>
      <c r="J906" s="123"/>
      <c r="L906" s="123"/>
      <c r="N906" s="123"/>
    </row>
    <row r="907" ht="15.75" hidden="1" customHeight="1">
      <c r="B907" s="123"/>
      <c r="D907" s="123"/>
      <c r="F907" s="123"/>
      <c r="H907" s="123"/>
      <c r="J907" s="123"/>
      <c r="L907" s="123"/>
      <c r="N907" s="123"/>
    </row>
    <row r="908" ht="15.75" hidden="1" customHeight="1">
      <c r="B908" s="123"/>
      <c r="D908" s="123"/>
      <c r="F908" s="123"/>
      <c r="H908" s="123"/>
      <c r="J908" s="123"/>
      <c r="L908" s="123"/>
      <c r="N908" s="123"/>
    </row>
    <row r="909" ht="15.75" hidden="1" customHeight="1">
      <c r="B909" s="123"/>
      <c r="D909" s="123"/>
      <c r="F909" s="123"/>
      <c r="H909" s="123"/>
      <c r="J909" s="123"/>
      <c r="L909" s="123"/>
      <c r="N909" s="123"/>
    </row>
    <row r="910" ht="15.75" hidden="1" customHeight="1">
      <c r="B910" s="123"/>
      <c r="D910" s="123"/>
      <c r="F910" s="123"/>
      <c r="H910" s="123"/>
      <c r="J910" s="123"/>
      <c r="L910" s="123"/>
      <c r="N910" s="123"/>
    </row>
    <row r="911" ht="15.75" hidden="1" customHeight="1">
      <c r="B911" s="123"/>
      <c r="D911" s="123"/>
      <c r="F911" s="123"/>
      <c r="H911" s="123"/>
      <c r="J911" s="123"/>
      <c r="L911" s="123"/>
      <c r="N911" s="123"/>
    </row>
    <row r="912" ht="15.75" hidden="1" customHeight="1">
      <c r="B912" s="123"/>
      <c r="D912" s="123"/>
      <c r="F912" s="123"/>
      <c r="H912" s="123"/>
      <c r="J912" s="123"/>
      <c r="L912" s="123"/>
      <c r="N912" s="123"/>
    </row>
    <row r="913" ht="15.75" hidden="1" customHeight="1">
      <c r="B913" s="123"/>
      <c r="D913" s="123"/>
      <c r="F913" s="123"/>
      <c r="H913" s="123"/>
      <c r="J913" s="123"/>
      <c r="L913" s="123"/>
      <c r="N913" s="123"/>
    </row>
    <row r="914" ht="15.75" hidden="1" customHeight="1">
      <c r="B914" s="123"/>
      <c r="D914" s="123"/>
      <c r="F914" s="123"/>
      <c r="H914" s="123"/>
      <c r="J914" s="123"/>
      <c r="L914" s="123"/>
      <c r="N914" s="123"/>
    </row>
    <row r="915" ht="15.75" hidden="1" customHeight="1">
      <c r="B915" s="123"/>
      <c r="D915" s="123"/>
      <c r="F915" s="123"/>
      <c r="H915" s="123"/>
      <c r="J915" s="123"/>
      <c r="L915" s="123"/>
      <c r="N915" s="123"/>
    </row>
    <row r="916" ht="15.75" hidden="1" customHeight="1">
      <c r="B916" s="123"/>
      <c r="D916" s="123"/>
      <c r="F916" s="123"/>
      <c r="H916" s="123"/>
      <c r="J916" s="123"/>
      <c r="L916" s="123"/>
      <c r="N916" s="123"/>
    </row>
    <row r="917" ht="15.75" hidden="1" customHeight="1">
      <c r="B917" s="123"/>
      <c r="D917" s="123"/>
      <c r="F917" s="123"/>
      <c r="H917" s="123"/>
      <c r="J917" s="123"/>
      <c r="L917" s="123"/>
      <c r="N917" s="123"/>
    </row>
    <row r="918" ht="15.75" hidden="1" customHeight="1">
      <c r="B918" s="123"/>
      <c r="D918" s="123"/>
      <c r="F918" s="123"/>
      <c r="H918" s="123"/>
      <c r="J918" s="123"/>
      <c r="L918" s="123"/>
      <c r="N918" s="123"/>
    </row>
    <row r="919" ht="15.75" hidden="1" customHeight="1">
      <c r="B919" s="123"/>
      <c r="D919" s="123"/>
      <c r="F919" s="123"/>
      <c r="H919" s="123"/>
      <c r="J919" s="123"/>
      <c r="L919" s="123"/>
      <c r="N919" s="123"/>
    </row>
    <row r="920" ht="15.75" hidden="1" customHeight="1">
      <c r="B920" s="123"/>
      <c r="D920" s="123"/>
      <c r="F920" s="123"/>
      <c r="H920" s="123"/>
      <c r="J920" s="123"/>
      <c r="L920" s="123"/>
      <c r="N920" s="123"/>
    </row>
    <row r="921" ht="15.75" hidden="1" customHeight="1">
      <c r="B921" s="123"/>
      <c r="D921" s="123"/>
      <c r="F921" s="123"/>
      <c r="H921" s="123"/>
      <c r="J921" s="123"/>
      <c r="L921" s="123"/>
      <c r="N921" s="123"/>
    </row>
    <row r="922" ht="15.75" hidden="1" customHeight="1">
      <c r="B922" s="123"/>
      <c r="D922" s="123"/>
      <c r="F922" s="123"/>
      <c r="H922" s="123"/>
      <c r="J922" s="123"/>
      <c r="L922" s="123"/>
      <c r="N922" s="123"/>
    </row>
    <row r="923" ht="15.75" hidden="1" customHeight="1">
      <c r="B923" s="123"/>
      <c r="D923" s="123"/>
      <c r="F923" s="123"/>
      <c r="H923" s="123"/>
      <c r="J923" s="123"/>
      <c r="L923" s="123"/>
      <c r="N923" s="123"/>
    </row>
    <row r="924" ht="15.75" hidden="1" customHeight="1">
      <c r="B924" s="123"/>
      <c r="D924" s="123"/>
      <c r="F924" s="123"/>
      <c r="H924" s="123"/>
      <c r="J924" s="123"/>
      <c r="L924" s="123"/>
      <c r="N924" s="123"/>
    </row>
    <row r="925" ht="15.75" hidden="1" customHeight="1">
      <c r="B925" s="123"/>
      <c r="D925" s="123"/>
      <c r="F925" s="123"/>
      <c r="H925" s="123"/>
      <c r="J925" s="123"/>
      <c r="L925" s="123"/>
      <c r="N925" s="123"/>
    </row>
    <row r="926" ht="15.75" hidden="1" customHeight="1">
      <c r="B926" s="123"/>
      <c r="D926" s="123"/>
      <c r="F926" s="123"/>
      <c r="H926" s="123"/>
      <c r="J926" s="123"/>
      <c r="L926" s="123"/>
      <c r="N926" s="123"/>
    </row>
    <row r="927" ht="15.75" hidden="1" customHeight="1">
      <c r="B927" s="123"/>
      <c r="D927" s="123"/>
      <c r="F927" s="123"/>
      <c r="H927" s="123"/>
      <c r="J927" s="123"/>
      <c r="L927" s="123"/>
      <c r="N927" s="123"/>
    </row>
    <row r="928" ht="15.75" hidden="1" customHeight="1">
      <c r="B928" s="123"/>
      <c r="D928" s="123"/>
      <c r="F928" s="123"/>
      <c r="H928" s="123"/>
      <c r="J928" s="123"/>
      <c r="L928" s="123"/>
      <c r="N928" s="123"/>
    </row>
    <row r="929" ht="15.75" hidden="1" customHeight="1">
      <c r="B929" s="123"/>
      <c r="D929" s="123"/>
      <c r="F929" s="123"/>
      <c r="H929" s="123"/>
      <c r="J929" s="123"/>
      <c r="L929" s="123"/>
      <c r="N929" s="123"/>
    </row>
    <row r="930" ht="15.75" hidden="1" customHeight="1">
      <c r="B930" s="123"/>
      <c r="D930" s="123"/>
      <c r="F930" s="123"/>
      <c r="H930" s="123"/>
      <c r="J930" s="123"/>
      <c r="L930" s="123"/>
      <c r="N930" s="123"/>
    </row>
    <row r="931" ht="15.75" hidden="1" customHeight="1">
      <c r="B931" s="123"/>
      <c r="D931" s="123"/>
      <c r="F931" s="123"/>
      <c r="H931" s="123"/>
      <c r="J931" s="123"/>
      <c r="L931" s="123"/>
      <c r="N931" s="123"/>
    </row>
    <row r="932" ht="15.75" hidden="1" customHeight="1">
      <c r="B932" s="123"/>
      <c r="D932" s="123"/>
      <c r="F932" s="123"/>
      <c r="H932" s="123"/>
      <c r="J932" s="123"/>
      <c r="L932" s="123"/>
      <c r="N932" s="123"/>
    </row>
    <row r="933" ht="15.75" hidden="1" customHeight="1">
      <c r="B933" s="123"/>
      <c r="D933" s="123"/>
      <c r="F933" s="123"/>
      <c r="H933" s="123"/>
      <c r="J933" s="123"/>
      <c r="L933" s="123"/>
      <c r="N933" s="123"/>
    </row>
    <row r="934" ht="15.75" hidden="1" customHeight="1">
      <c r="B934" s="123"/>
      <c r="D934" s="123"/>
      <c r="F934" s="123"/>
      <c r="H934" s="123"/>
      <c r="J934" s="123"/>
      <c r="L934" s="123"/>
      <c r="N934" s="123"/>
    </row>
    <row r="935" ht="15.75" hidden="1" customHeight="1">
      <c r="B935" s="123"/>
      <c r="D935" s="123"/>
      <c r="F935" s="123"/>
      <c r="H935" s="123"/>
      <c r="J935" s="123"/>
      <c r="L935" s="123"/>
      <c r="N935" s="123"/>
    </row>
    <row r="936" ht="15.75" hidden="1" customHeight="1">
      <c r="B936" s="123"/>
      <c r="D936" s="123"/>
      <c r="F936" s="123"/>
      <c r="H936" s="123"/>
      <c r="J936" s="123"/>
      <c r="L936" s="123"/>
      <c r="N936" s="123"/>
    </row>
    <row r="937" ht="15.75" hidden="1" customHeight="1">
      <c r="B937" s="123"/>
      <c r="D937" s="123"/>
      <c r="F937" s="123"/>
      <c r="H937" s="123"/>
      <c r="J937" s="123"/>
      <c r="L937" s="123"/>
      <c r="N937" s="123"/>
    </row>
    <row r="938" ht="15.75" hidden="1" customHeight="1">
      <c r="B938" s="123"/>
      <c r="D938" s="123"/>
      <c r="F938" s="123"/>
      <c r="H938" s="123"/>
      <c r="J938" s="123"/>
      <c r="L938" s="123"/>
      <c r="N938" s="123"/>
    </row>
    <row r="939" ht="15.75" hidden="1" customHeight="1">
      <c r="B939" s="123"/>
      <c r="D939" s="123"/>
      <c r="F939" s="123"/>
      <c r="H939" s="123"/>
      <c r="J939" s="123"/>
      <c r="L939" s="123"/>
      <c r="N939" s="123"/>
    </row>
    <row r="940" ht="15.75" hidden="1" customHeight="1">
      <c r="B940" s="123"/>
      <c r="D940" s="123"/>
      <c r="F940" s="123"/>
      <c r="H940" s="123"/>
      <c r="J940" s="123"/>
      <c r="L940" s="123"/>
      <c r="N940" s="123"/>
    </row>
    <row r="941" ht="15.75" hidden="1" customHeight="1">
      <c r="B941" s="123"/>
      <c r="D941" s="123"/>
      <c r="F941" s="123"/>
      <c r="H941" s="123"/>
      <c r="J941" s="123"/>
      <c r="L941" s="123"/>
      <c r="N941" s="123"/>
    </row>
    <row r="942" ht="15.75" hidden="1" customHeight="1">
      <c r="B942" s="123"/>
      <c r="D942" s="123"/>
      <c r="F942" s="123"/>
      <c r="H942" s="123"/>
      <c r="J942" s="123"/>
      <c r="L942" s="123"/>
      <c r="N942" s="123"/>
    </row>
    <row r="943" ht="15.75" hidden="1" customHeight="1">
      <c r="B943" s="123"/>
      <c r="D943" s="123"/>
      <c r="F943" s="123"/>
      <c r="H943" s="123"/>
      <c r="J943" s="123"/>
      <c r="L943" s="123"/>
      <c r="N943" s="123"/>
    </row>
    <row r="944" ht="15.75" hidden="1" customHeight="1">
      <c r="B944" s="123"/>
      <c r="D944" s="123"/>
      <c r="F944" s="123"/>
      <c r="H944" s="123"/>
      <c r="J944" s="123"/>
      <c r="L944" s="123"/>
      <c r="N944" s="123"/>
    </row>
    <row r="945" ht="15.75" hidden="1" customHeight="1">
      <c r="B945" s="123"/>
      <c r="D945" s="123"/>
      <c r="F945" s="123"/>
      <c r="H945" s="123"/>
      <c r="J945" s="123"/>
      <c r="L945" s="123"/>
      <c r="N945" s="123"/>
    </row>
    <row r="946" ht="15.75" hidden="1" customHeight="1">
      <c r="B946" s="123"/>
      <c r="D946" s="123"/>
      <c r="F946" s="123"/>
      <c r="H946" s="123"/>
      <c r="J946" s="123"/>
      <c r="L946" s="123"/>
      <c r="N946" s="123"/>
    </row>
    <row r="947" ht="15.75" hidden="1" customHeight="1">
      <c r="B947" s="123"/>
      <c r="D947" s="123"/>
      <c r="F947" s="123"/>
      <c r="H947" s="123"/>
      <c r="J947" s="123"/>
      <c r="L947" s="123"/>
      <c r="N947" s="123"/>
    </row>
    <row r="948" ht="15.75" hidden="1" customHeight="1">
      <c r="B948" s="123"/>
      <c r="D948" s="123"/>
      <c r="F948" s="123"/>
      <c r="H948" s="123"/>
      <c r="J948" s="123"/>
      <c r="L948" s="123"/>
      <c r="N948" s="123"/>
    </row>
    <row r="949" ht="15.75" hidden="1" customHeight="1">
      <c r="B949" s="123"/>
      <c r="D949" s="123"/>
      <c r="F949" s="123"/>
      <c r="H949" s="123"/>
      <c r="J949" s="123"/>
      <c r="L949" s="123"/>
      <c r="N949" s="123"/>
    </row>
    <row r="950" ht="15.75" hidden="1" customHeight="1">
      <c r="B950" s="123"/>
      <c r="D950" s="123"/>
      <c r="F950" s="123"/>
      <c r="H950" s="123"/>
      <c r="J950" s="123"/>
      <c r="L950" s="123"/>
      <c r="N950" s="123"/>
    </row>
    <row r="951" ht="15.75" hidden="1" customHeight="1">
      <c r="B951" s="123"/>
      <c r="D951" s="123"/>
      <c r="F951" s="123"/>
      <c r="H951" s="123"/>
      <c r="J951" s="123"/>
      <c r="L951" s="123"/>
      <c r="N951" s="123"/>
    </row>
    <row r="952" ht="15.75" hidden="1" customHeight="1">
      <c r="B952" s="123"/>
      <c r="D952" s="123"/>
      <c r="F952" s="123"/>
      <c r="H952" s="123"/>
      <c r="J952" s="123"/>
      <c r="L952" s="123"/>
      <c r="N952" s="123"/>
    </row>
    <row r="953" ht="15.75" hidden="1" customHeight="1">
      <c r="B953" s="123"/>
      <c r="D953" s="123"/>
      <c r="F953" s="123"/>
      <c r="H953" s="123"/>
      <c r="J953" s="123"/>
      <c r="L953" s="123"/>
      <c r="N953" s="123"/>
    </row>
    <row r="954" ht="15.75" hidden="1" customHeight="1">
      <c r="B954" s="123"/>
      <c r="D954" s="123"/>
      <c r="F954" s="123"/>
      <c r="H954" s="123"/>
      <c r="J954" s="123"/>
      <c r="L954" s="123"/>
      <c r="N954" s="123"/>
    </row>
    <row r="955" ht="15.75" hidden="1" customHeight="1">
      <c r="B955" s="123"/>
      <c r="D955" s="123"/>
      <c r="F955" s="123"/>
      <c r="H955" s="123"/>
      <c r="J955" s="123"/>
      <c r="L955" s="123"/>
      <c r="N955" s="123"/>
    </row>
    <row r="956" ht="15.75" hidden="1" customHeight="1">
      <c r="B956" s="123"/>
      <c r="D956" s="123"/>
      <c r="F956" s="123"/>
      <c r="H956" s="123"/>
      <c r="J956" s="123"/>
      <c r="L956" s="123"/>
      <c r="N956" s="123"/>
    </row>
    <row r="957" ht="15.75" hidden="1" customHeight="1">
      <c r="B957" s="123"/>
      <c r="D957" s="123"/>
      <c r="F957" s="123"/>
      <c r="H957" s="123"/>
      <c r="J957" s="123"/>
      <c r="L957" s="123"/>
      <c r="N957" s="123"/>
    </row>
    <row r="958" ht="15.75" hidden="1" customHeight="1">
      <c r="B958" s="123"/>
      <c r="D958" s="123"/>
      <c r="F958" s="123"/>
      <c r="H958" s="123"/>
      <c r="J958" s="123"/>
      <c r="L958" s="123"/>
      <c r="N958" s="123"/>
    </row>
    <row r="959" ht="15.75" hidden="1" customHeight="1">
      <c r="B959" s="123"/>
      <c r="D959" s="123"/>
      <c r="F959" s="123"/>
      <c r="H959" s="123"/>
      <c r="J959" s="123"/>
      <c r="L959" s="123"/>
      <c r="N959" s="123"/>
    </row>
    <row r="960" ht="15.75" hidden="1" customHeight="1">
      <c r="B960" s="123"/>
      <c r="D960" s="123"/>
      <c r="F960" s="123"/>
      <c r="H960" s="123"/>
      <c r="J960" s="123"/>
      <c r="L960" s="123"/>
      <c r="N960" s="123"/>
    </row>
    <row r="961" ht="15.75" hidden="1" customHeight="1">
      <c r="B961" s="123"/>
      <c r="D961" s="123"/>
      <c r="F961" s="123"/>
      <c r="H961" s="123"/>
      <c r="J961" s="123"/>
      <c r="L961" s="123"/>
      <c r="N961" s="123"/>
    </row>
    <row r="962" ht="15.75" hidden="1" customHeight="1">
      <c r="B962" s="123"/>
      <c r="D962" s="123"/>
      <c r="F962" s="123"/>
      <c r="H962" s="123"/>
      <c r="J962" s="123"/>
      <c r="L962" s="123"/>
      <c r="N962" s="123"/>
    </row>
    <row r="963" ht="15.75" hidden="1" customHeight="1">
      <c r="B963" s="123"/>
      <c r="D963" s="123"/>
      <c r="F963" s="123"/>
      <c r="H963" s="123"/>
      <c r="J963" s="123"/>
      <c r="L963" s="123"/>
      <c r="N963" s="123"/>
    </row>
    <row r="964" ht="15.75" hidden="1" customHeight="1">
      <c r="B964" s="123"/>
      <c r="D964" s="123"/>
      <c r="F964" s="123"/>
      <c r="H964" s="123"/>
      <c r="J964" s="123"/>
      <c r="L964" s="123"/>
      <c r="N964" s="123"/>
    </row>
    <row r="965" ht="15.75" hidden="1" customHeight="1">
      <c r="B965" s="123"/>
      <c r="D965" s="123"/>
      <c r="F965" s="123"/>
      <c r="H965" s="123"/>
      <c r="J965" s="123"/>
      <c r="L965" s="123"/>
      <c r="N965" s="123"/>
    </row>
    <row r="966" ht="15.75" hidden="1" customHeight="1">
      <c r="B966" s="123"/>
      <c r="D966" s="123"/>
      <c r="F966" s="123"/>
      <c r="H966" s="123"/>
      <c r="J966" s="123"/>
      <c r="L966" s="123"/>
      <c r="N966" s="123"/>
    </row>
    <row r="967" ht="15.75" hidden="1" customHeight="1">
      <c r="B967" s="123"/>
      <c r="D967" s="123"/>
      <c r="F967" s="123"/>
      <c r="H967" s="123"/>
      <c r="J967" s="123"/>
      <c r="L967" s="123"/>
      <c r="N967" s="123"/>
    </row>
    <row r="968" ht="15.75" hidden="1" customHeight="1">
      <c r="B968" s="123"/>
      <c r="D968" s="123"/>
      <c r="F968" s="123"/>
      <c r="H968" s="123"/>
      <c r="J968" s="123"/>
      <c r="L968" s="123"/>
      <c r="N968" s="123"/>
    </row>
    <row r="969" ht="15.75" hidden="1" customHeight="1">
      <c r="B969" s="123"/>
      <c r="D969" s="123"/>
      <c r="F969" s="123"/>
      <c r="H969" s="123"/>
      <c r="J969" s="123"/>
      <c r="L969" s="123"/>
      <c r="N969" s="123"/>
    </row>
    <row r="970" ht="15.75" hidden="1" customHeight="1">
      <c r="B970" s="123"/>
      <c r="D970" s="123"/>
      <c r="F970" s="123"/>
      <c r="H970" s="123"/>
      <c r="J970" s="123"/>
      <c r="L970" s="123"/>
      <c r="N970" s="123"/>
    </row>
    <row r="971" ht="15.75" hidden="1" customHeight="1">
      <c r="B971" s="123"/>
      <c r="D971" s="123"/>
      <c r="F971" s="123"/>
      <c r="H971" s="123"/>
      <c r="J971" s="123"/>
      <c r="L971" s="123"/>
      <c r="N971" s="123"/>
    </row>
    <row r="972" ht="15.75" hidden="1" customHeight="1">
      <c r="B972" s="123"/>
      <c r="D972" s="123"/>
      <c r="F972" s="123"/>
      <c r="H972" s="123"/>
      <c r="J972" s="123"/>
      <c r="L972" s="123"/>
      <c r="N972" s="123"/>
    </row>
    <row r="973" ht="15.75" hidden="1" customHeight="1">
      <c r="B973" s="123"/>
      <c r="D973" s="123"/>
      <c r="F973" s="123"/>
      <c r="H973" s="123"/>
      <c r="J973" s="123"/>
      <c r="L973" s="123"/>
      <c r="N973" s="123"/>
    </row>
    <row r="974" ht="15.75" hidden="1" customHeight="1">
      <c r="B974" s="123"/>
      <c r="D974" s="123"/>
      <c r="F974" s="123"/>
      <c r="H974" s="123"/>
      <c r="J974" s="123"/>
      <c r="L974" s="123"/>
      <c r="N974" s="123"/>
    </row>
    <row r="975" ht="15.75" hidden="1" customHeight="1">
      <c r="B975" s="123"/>
      <c r="D975" s="123"/>
      <c r="F975" s="123"/>
      <c r="H975" s="123"/>
      <c r="J975" s="123"/>
      <c r="L975" s="123"/>
      <c r="N975" s="123"/>
    </row>
    <row r="976" ht="15.75" hidden="1" customHeight="1">
      <c r="B976" s="123"/>
      <c r="D976" s="123"/>
      <c r="F976" s="123"/>
      <c r="H976" s="123"/>
      <c r="J976" s="123"/>
      <c r="L976" s="123"/>
      <c r="N976" s="123"/>
    </row>
    <row r="977" ht="15.75" hidden="1" customHeight="1">
      <c r="B977" s="123"/>
      <c r="D977" s="123"/>
      <c r="F977" s="123"/>
      <c r="H977" s="123"/>
      <c r="J977" s="123"/>
      <c r="L977" s="123"/>
      <c r="N977" s="123"/>
    </row>
    <row r="978" ht="15.75" hidden="1" customHeight="1">
      <c r="B978" s="123"/>
      <c r="D978" s="123"/>
      <c r="F978" s="123"/>
      <c r="H978" s="123"/>
      <c r="J978" s="123"/>
      <c r="L978" s="123"/>
      <c r="N978" s="123"/>
    </row>
    <row r="979" ht="15.75" hidden="1" customHeight="1">
      <c r="B979" s="123"/>
      <c r="D979" s="123"/>
      <c r="F979" s="123"/>
      <c r="H979" s="123"/>
      <c r="J979" s="123"/>
      <c r="L979" s="123"/>
      <c r="N979" s="123"/>
    </row>
    <row r="980" ht="15.75" hidden="1" customHeight="1">
      <c r="B980" s="123"/>
      <c r="D980" s="123"/>
      <c r="F980" s="123"/>
      <c r="H980" s="123"/>
      <c r="J980" s="123"/>
      <c r="L980" s="123"/>
      <c r="N980" s="123"/>
    </row>
    <row r="981" ht="15.75" hidden="1" customHeight="1">
      <c r="B981" s="123"/>
      <c r="D981" s="123"/>
      <c r="F981" s="123"/>
      <c r="H981" s="123"/>
      <c r="J981" s="123"/>
      <c r="L981" s="123"/>
      <c r="N981" s="123"/>
    </row>
    <row r="982" ht="15.75" hidden="1" customHeight="1">
      <c r="B982" s="123"/>
      <c r="D982" s="123"/>
      <c r="F982" s="123"/>
      <c r="H982" s="123"/>
      <c r="J982" s="123"/>
      <c r="L982" s="123"/>
      <c r="N982" s="123"/>
    </row>
    <row r="983" ht="15.75" hidden="1" customHeight="1">
      <c r="B983" s="123"/>
      <c r="D983" s="123"/>
      <c r="F983" s="123"/>
      <c r="H983" s="123"/>
      <c r="J983" s="123"/>
      <c r="L983" s="123"/>
      <c r="N983" s="123"/>
    </row>
    <row r="984" ht="15.75" hidden="1" customHeight="1">
      <c r="B984" s="123"/>
      <c r="D984" s="123"/>
      <c r="F984" s="123"/>
      <c r="H984" s="123"/>
      <c r="J984" s="123"/>
      <c r="L984" s="123"/>
      <c r="N984" s="123"/>
    </row>
    <row r="985" ht="15.75" hidden="1" customHeight="1">
      <c r="B985" s="123"/>
      <c r="D985" s="123"/>
      <c r="F985" s="123"/>
      <c r="H985" s="123"/>
      <c r="J985" s="123"/>
      <c r="L985" s="123"/>
      <c r="N985" s="123"/>
    </row>
    <row r="986" ht="15.75" hidden="1" customHeight="1">
      <c r="B986" s="123"/>
      <c r="D986" s="123"/>
      <c r="F986" s="123"/>
      <c r="H986" s="123"/>
      <c r="J986" s="123"/>
      <c r="L986" s="123"/>
      <c r="N986" s="123"/>
    </row>
    <row r="987" ht="15.75" hidden="1" customHeight="1">
      <c r="B987" s="123"/>
      <c r="D987" s="123"/>
      <c r="F987" s="123"/>
      <c r="H987" s="123"/>
      <c r="J987" s="123"/>
      <c r="L987" s="123"/>
      <c r="N987" s="123"/>
    </row>
    <row r="988" ht="15.75" hidden="1" customHeight="1">
      <c r="B988" s="123"/>
      <c r="D988" s="123"/>
      <c r="F988" s="123"/>
      <c r="H988" s="123"/>
      <c r="J988" s="123"/>
      <c r="L988" s="123"/>
      <c r="N988" s="123"/>
    </row>
    <row r="989" ht="15.75" hidden="1" customHeight="1">
      <c r="B989" s="123"/>
      <c r="D989" s="123"/>
      <c r="F989" s="123"/>
      <c r="H989" s="123"/>
      <c r="J989" s="123"/>
      <c r="L989" s="123"/>
      <c r="N989" s="123"/>
    </row>
    <row r="990" ht="15.75" hidden="1" customHeight="1">
      <c r="B990" s="123"/>
      <c r="D990" s="123"/>
      <c r="F990" s="123"/>
      <c r="H990" s="123"/>
      <c r="J990" s="123"/>
      <c r="L990" s="123"/>
      <c r="N990" s="123"/>
    </row>
    <row r="991" ht="15.75" hidden="1" customHeight="1">
      <c r="B991" s="123"/>
      <c r="D991" s="123"/>
      <c r="F991" s="123"/>
      <c r="H991" s="123"/>
      <c r="J991" s="123"/>
      <c r="L991" s="123"/>
      <c r="N991" s="123"/>
    </row>
    <row r="992" ht="15.75" hidden="1" customHeight="1">
      <c r="B992" s="123"/>
      <c r="D992" s="123"/>
      <c r="F992" s="123"/>
      <c r="H992" s="123"/>
      <c r="J992" s="123"/>
      <c r="L992" s="123"/>
      <c r="N992" s="123"/>
    </row>
    <row r="993" ht="15.75" hidden="1" customHeight="1">
      <c r="B993" s="123"/>
      <c r="D993" s="123"/>
      <c r="F993" s="123"/>
      <c r="H993" s="123"/>
      <c r="J993" s="123"/>
      <c r="L993" s="123"/>
      <c r="N993" s="123"/>
    </row>
    <row r="994" ht="15.75" hidden="1" customHeight="1">
      <c r="B994" s="123"/>
      <c r="D994" s="123"/>
      <c r="F994" s="123"/>
      <c r="H994" s="123"/>
      <c r="J994" s="123"/>
      <c r="L994" s="123"/>
      <c r="N994" s="123"/>
    </row>
    <row r="995" ht="15.75" hidden="1" customHeight="1">
      <c r="B995" s="123"/>
      <c r="D995" s="123"/>
      <c r="F995" s="123"/>
      <c r="H995" s="123"/>
      <c r="J995" s="123"/>
      <c r="L995" s="123"/>
      <c r="N995" s="123"/>
    </row>
    <row r="996" ht="15.75" hidden="1" customHeight="1">
      <c r="B996" s="123"/>
      <c r="D996" s="123"/>
      <c r="F996" s="123"/>
      <c r="H996" s="123"/>
      <c r="J996" s="123"/>
      <c r="L996" s="123"/>
      <c r="N996" s="123"/>
    </row>
    <row r="997" ht="15.75" hidden="1" customHeight="1">
      <c r="B997" s="123"/>
      <c r="D997" s="123"/>
      <c r="F997" s="123"/>
      <c r="H997" s="123"/>
      <c r="J997" s="123"/>
      <c r="L997" s="123"/>
      <c r="N997" s="123"/>
    </row>
    <row r="998" ht="15.75" hidden="1" customHeight="1">
      <c r="B998" s="123"/>
      <c r="D998" s="123"/>
      <c r="F998" s="123"/>
      <c r="H998" s="123"/>
      <c r="J998" s="123"/>
      <c r="L998" s="123"/>
      <c r="N998" s="123"/>
    </row>
    <row r="999" ht="15.75" hidden="1" customHeight="1">
      <c r="B999" s="123"/>
      <c r="D999" s="123"/>
      <c r="F999" s="123"/>
      <c r="H999" s="123"/>
      <c r="J999" s="123"/>
      <c r="L999" s="123"/>
      <c r="N999" s="123"/>
    </row>
    <row r="1000" ht="15.75" hidden="1" customHeight="1">
      <c r="B1000" s="123"/>
      <c r="D1000" s="123"/>
      <c r="F1000" s="123"/>
      <c r="H1000" s="123"/>
      <c r="J1000" s="123"/>
      <c r="L1000" s="123"/>
      <c r="N1000" s="123"/>
    </row>
  </sheetData>
  <mergeCells count="46">
    <mergeCell ref="B1:O1"/>
    <mergeCell ref="D2:E2"/>
    <mergeCell ref="F2:G2"/>
    <mergeCell ref="H2:I2"/>
    <mergeCell ref="J2:K2"/>
    <mergeCell ref="L2:M2"/>
    <mergeCell ref="N2:O2"/>
    <mergeCell ref="O3:O5"/>
    <mergeCell ref="Q3:Q5"/>
    <mergeCell ref="B2:C2"/>
    <mergeCell ref="C3:C5"/>
    <mergeCell ref="E3:E5"/>
    <mergeCell ref="G3:G5"/>
    <mergeCell ref="I3:I5"/>
    <mergeCell ref="K3:K5"/>
    <mergeCell ref="M3:M5"/>
    <mergeCell ref="B6:C6"/>
    <mergeCell ref="D6:E6"/>
    <mergeCell ref="F6:G6"/>
    <mergeCell ref="H6:I6"/>
    <mergeCell ref="J6:K6"/>
    <mergeCell ref="L6:M6"/>
    <mergeCell ref="N6:O6"/>
    <mergeCell ref="E7:E9"/>
    <mergeCell ref="G7:G9"/>
    <mergeCell ref="I7:I9"/>
    <mergeCell ref="K7:K9"/>
    <mergeCell ref="M7:M9"/>
    <mergeCell ref="O7:O9"/>
    <mergeCell ref="Q7:Q9"/>
    <mergeCell ref="B10:C10"/>
    <mergeCell ref="D10:E10"/>
    <mergeCell ref="F10:G10"/>
    <mergeCell ref="H10:I10"/>
    <mergeCell ref="J10:K10"/>
    <mergeCell ref="L10:M10"/>
    <mergeCell ref="N10:O10"/>
    <mergeCell ref="N11:N13"/>
    <mergeCell ref="O11:O13"/>
    <mergeCell ref="C7:C9"/>
    <mergeCell ref="C11:C13"/>
    <mergeCell ref="E11:E13"/>
    <mergeCell ref="G11:G13"/>
    <mergeCell ref="I11:I13"/>
    <mergeCell ref="K11:K13"/>
    <mergeCell ref="M11:M1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5.29"/>
    <col customWidth="1" min="3" max="3" width="16.29"/>
    <col customWidth="1" min="4" max="4" width="5.29"/>
    <col customWidth="1" min="5" max="5" width="16.29"/>
    <col customWidth="1" min="6" max="6" width="5.29"/>
    <col customWidth="1" min="7" max="7" width="16.29"/>
    <col customWidth="1" min="8" max="8" width="5.29"/>
    <col customWidth="1" min="9" max="9" width="16.29"/>
    <col customWidth="1" min="10" max="10" width="5.29"/>
    <col customWidth="1" min="11" max="11" width="16.29"/>
    <col customWidth="1" min="12" max="12" width="5.29"/>
    <col customWidth="1" min="13" max="13" width="16.29"/>
    <col customWidth="1" min="14" max="14" width="5.29"/>
    <col customWidth="1" min="15" max="15" width="16.29"/>
    <col customWidth="1" min="16" max="16" width="4.0"/>
    <col hidden="1" min="17" max="26" width="14.43"/>
  </cols>
  <sheetData>
    <row r="1" ht="18.75" customHeight="1">
      <c r="A1" s="1"/>
      <c r="B1" s="124" t="s">
        <v>2082</v>
      </c>
      <c r="C1" s="4"/>
      <c r="D1" s="4"/>
      <c r="E1" s="4"/>
      <c r="F1" s="4"/>
      <c r="G1" s="4"/>
      <c r="H1" s="4"/>
      <c r="I1" s="4"/>
      <c r="J1" s="4"/>
      <c r="K1" s="4"/>
      <c r="L1" s="4"/>
      <c r="M1" s="4"/>
      <c r="N1" s="4"/>
      <c r="O1" s="4"/>
      <c r="P1" s="1"/>
    </row>
    <row r="2" ht="18.75" customHeight="1">
      <c r="A2" s="1"/>
      <c r="B2" s="2"/>
      <c r="C2" s="1" t="s">
        <v>2083</v>
      </c>
      <c r="D2" s="2"/>
      <c r="E2" s="1" t="s">
        <v>2084</v>
      </c>
      <c r="F2" s="2"/>
      <c r="G2" s="1" t="s">
        <v>2085</v>
      </c>
      <c r="H2" s="2"/>
      <c r="I2" s="1" t="s">
        <v>2086</v>
      </c>
      <c r="J2" s="2"/>
      <c r="K2" s="1" t="s">
        <v>2087</v>
      </c>
      <c r="L2" s="2"/>
      <c r="M2" s="1" t="s">
        <v>2088</v>
      </c>
      <c r="N2" s="2"/>
      <c r="O2" s="1" t="s">
        <v>2089</v>
      </c>
      <c r="P2" s="1"/>
    </row>
    <row r="3" ht="26.25" customHeight="1">
      <c r="A3" s="125" t="s">
        <v>2090</v>
      </c>
      <c r="B3" s="16" t="str">
        <f t="shared" ref="B3:B4" si="1">image("https://i.imgur.com/bxys1sd.png")</f>
        <v/>
      </c>
      <c r="C3" s="20" t="str">
        <f>image("https://pokejungle.net/sprites/normal/0869.png")</f>
        <v/>
      </c>
      <c r="D3" s="16" t="str">
        <f>image("https://i.imgur.com/bxys1sd.png")</f>
        <v/>
      </c>
      <c r="E3" s="20" t="str">
        <f>image("https://pokejungle.net/sprites/normal/0869-e.png")</f>
        <v/>
      </c>
      <c r="F3" s="16" t="str">
        <f>image("https://i.imgur.com/bxys1sd.png")</f>
        <v/>
      </c>
      <c r="G3" s="20" t="str">
        <f>image("https://pokejungle.net/sprites/normal/0869-c.png")</f>
        <v/>
      </c>
      <c r="H3" s="24" t="str">
        <f>image("https://i.imgur.com/bxys1sd.png")</f>
        <v/>
      </c>
      <c r="I3" s="20" t="str">
        <f>image("https://pokejungle.net/sprites/normal/0869-d.png")</f>
        <v/>
      </c>
      <c r="J3" s="16" t="str">
        <f>image("https://i.imgur.com/bxys1sd.png")</f>
        <v/>
      </c>
      <c r="K3" s="20" t="str">
        <f>image("https://pokejungle.net/sprites/normal/0869-a.png")</f>
        <v/>
      </c>
      <c r="L3" s="28" t="str">
        <f>image("https://i.imgur.com/bxys1sd.png")</f>
        <v/>
      </c>
      <c r="M3" s="20" t="str">
        <f>image("https://pokejungle.net/sprites/normal/0869-f.png")</f>
        <v/>
      </c>
      <c r="N3" s="16" t="str">
        <f>image("https://i.imgur.com/bxys1sd.png")</f>
        <v/>
      </c>
      <c r="O3" s="20" t="str">
        <f>image("https://pokejungle.net/sprites/normal/0869-b.png")</f>
        <v/>
      </c>
      <c r="P3" s="121"/>
    </row>
    <row r="4" ht="26.25" customHeight="1">
      <c r="A4" s="25"/>
      <c r="B4" s="38" t="str">
        <f t="shared" si="1"/>
        <v/>
      </c>
      <c r="C4" s="36"/>
      <c r="D4" s="35" t="str">
        <f>image("https://i.imgur.com/RqSOGo6.png")</f>
        <v/>
      </c>
      <c r="E4" s="36"/>
      <c r="F4" s="35" t="str">
        <f>image("https://i.imgur.com/JDgAgAO.png")</f>
        <v/>
      </c>
      <c r="G4" s="36"/>
      <c r="H4" s="37" t="str">
        <f>image("https://i.imgur.com/XIu6jDl.png")</f>
        <v/>
      </c>
      <c r="I4" s="36"/>
      <c r="J4" s="38" t="str">
        <f>image("https://i.imgur.com/SF5CZ6U.png")</f>
        <v/>
      </c>
      <c r="K4" s="36"/>
      <c r="L4" s="35" t="str">
        <f>image("https://i.imgur.com/XI18XGu.png")</f>
        <v/>
      </c>
      <c r="M4" s="36"/>
      <c r="N4" s="38" t="str">
        <f>image("https://i.imgur.com/a9HBljD.png")</f>
        <v/>
      </c>
      <c r="O4" s="36"/>
      <c r="P4" s="33"/>
    </row>
    <row r="5" ht="26.25" customHeight="1">
      <c r="A5" s="50"/>
      <c r="B5" s="40"/>
      <c r="C5" s="41"/>
      <c r="D5" s="40"/>
      <c r="E5" s="41"/>
      <c r="F5" s="40"/>
      <c r="G5" s="41"/>
      <c r="H5" s="40"/>
      <c r="I5" s="41"/>
      <c r="J5" s="40"/>
      <c r="K5" s="41"/>
      <c r="L5" s="43"/>
      <c r="M5" s="41"/>
      <c r="N5" s="40"/>
      <c r="O5" s="41"/>
      <c r="P5" s="33"/>
    </row>
    <row r="6" ht="26.25" customHeight="1">
      <c r="A6" s="125" t="s">
        <v>2107</v>
      </c>
      <c r="B6" s="16" t="str">
        <f>image("https://i.imgur.com/XI18XGu.png")</f>
        <v/>
      </c>
      <c r="C6" s="20" t="str">
        <f>image("https://pokejungle.net/sprites/normal/0869-1.png")</f>
        <v/>
      </c>
      <c r="D6" s="16" t="str">
        <f>image("https://i.imgur.com/XI18XGu.png")</f>
        <v/>
      </c>
      <c r="E6" s="20" t="str">
        <f>image("https://pokejungle.net/sprites/normal/0869-1-e.png")</f>
        <v/>
      </c>
      <c r="F6" s="16" t="str">
        <f>image("https://i.imgur.com/XI18XGu.png")</f>
        <v/>
      </c>
      <c r="G6" s="20" t="str">
        <f>image("https://pokejungle.net/sprites/normal/0869-1-c.png")</f>
        <v/>
      </c>
      <c r="H6" s="24" t="str">
        <f>image("https://i.imgur.com/XI18XGu.png")</f>
        <v/>
      </c>
      <c r="I6" s="20" t="str">
        <f>image("https://pokejungle.net/sprites/normal/0869-1-d.png")</f>
        <v/>
      </c>
      <c r="J6" s="16" t="str">
        <f>image("https://i.imgur.com/XI18XGu.png")</f>
        <v/>
      </c>
      <c r="K6" s="20" t="str">
        <f>image("https://pokejungle.net/sprites/normal/0869-1-a.png")</f>
        <v/>
      </c>
      <c r="L6" s="28" t="str">
        <f t="shared" ref="L6:L7" si="2">image("https://i.imgur.com/XI18XGu.png")</f>
        <v/>
      </c>
      <c r="M6" s="20" t="str">
        <f>image("https://pokejungle.net/sprites/normal/0869-1-f.png")</f>
        <v/>
      </c>
      <c r="N6" s="16" t="str">
        <f>image("https://i.imgur.com/XI18XGu.png")</f>
        <v/>
      </c>
      <c r="O6" s="20" t="str">
        <f>image("https://pokejungle.net/sprites/normal/0869-1-b.png")</f>
        <v/>
      </c>
      <c r="P6" s="121"/>
    </row>
    <row r="7" ht="26.25" customHeight="1">
      <c r="A7" s="25"/>
      <c r="B7" s="38" t="str">
        <f>image("https://i.imgur.com/bxys1sd.png")</f>
        <v/>
      </c>
      <c r="C7" s="36"/>
      <c r="D7" s="35" t="str">
        <f>image("https://i.imgur.com/RqSOGo6.png")</f>
        <v/>
      </c>
      <c r="E7" s="36"/>
      <c r="F7" s="35" t="str">
        <f>image("https://i.imgur.com/JDgAgAO.png")</f>
        <v/>
      </c>
      <c r="G7" s="36"/>
      <c r="H7" s="37" t="str">
        <f>image("https://i.imgur.com/XIu6jDl.png")</f>
        <v/>
      </c>
      <c r="I7" s="36"/>
      <c r="J7" s="38" t="str">
        <f>image("https://i.imgur.com/SF5CZ6U.png")</f>
        <v/>
      </c>
      <c r="K7" s="36"/>
      <c r="L7" s="35" t="str">
        <f t="shared" si="2"/>
        <v/>
      </c>
      <c r="M7" s="36"/>
      <c r="N7" s="38" t="str">
        <f>image("https://i.imgur.com/a9HBljD.png")</f>
        <v/>
      </c>
      <c r="O7" s="36"/>
      <c r="P7" s="33"/>
    </row>
    <row r="8" ht="26.25" customHeight="1">
      <c r="A8" s="50"/>
      <c r="B8" s="40"/>
      <c r="C8" s="41"/>
      <c r="D8" s="40"/>
      <c r="E8" s="41"/>
      <c r="F8" s="40"/>
      <c r="G8" s="41"/>
      <c r="H8" s="40"/>
      <c r="I8" s="41"/>
      <c r="J8" s="40"/>
      <c r="K8" s="41"/>
      <c r="L8" s="43"/>
      <c r="M8" s="41"/>
      <c r="N8" s="40"/>
      <c r="O8" s="41"/>
      <c r="P8" s="33"/>
    </row>
    <row r="9" ht="26.25" customHeight="1">
      <c r="A9" s="125" t="s">
        <v>2112</v>
      </c>
      <c r="B9" s="16" t="str">
        <f>image("https://i.imgur.com/VQL4lPa.png")</f>
        <v/>
      </c>
      <c r="C9" s="20" t="str">
        <f>image("https://pokejungle.net/sprites/normal/0869-2.png")</f>
        <v/>
      </c>
      <c r="D9" s="16" t="str">
        <f>image("https://i.imgur.com/VQL4lPa.png")</f>
        <v/>
      </c>
      <c r="E9" s="20" t="str">
        <f>image("https://pokejungle.net/sprites/normal/0869-2-e.png")</f>
        <v/>
      </c>
      <c r="F9" s="16" t="str">
        <f>image("https://i.imgur.com/VQL4lPa.png")</f>
        <v/>
      </c>
      <c r="G9" s="20" t="str">
        <f>image("https://pokejungle.net/sprites/normal/0869-2-c.png")</f>
        <v/>
      </c>
      <c r="H9" s="24" t="str">
        <f>image("https://i.imgur.com/VQL4lPa.png")</f>
        <v/>
      </c>
      <c r="I9" s="20" t="str">
        <f>image("https://pokejungle.net/sprites/normal/0869-2-d.png")</f>
        <v/>
      </c>
      <c r="J9" s="16" t="str">
        <f>image("https://i.imgur.com/VQL4lPa.png")</f>
        <v/>
      </c>
      <c r="K9" s="20" t="str">
        <f>image("https://pokejungle.net/sprites/normal/0869-2-a.png")</f>
        <v/>
      </c>
      <c r="L9" s="28" t="str">
        <f>image("https://i.imgur.com/VQL4lPa.png")</f>
        <v/>
      </c>
      <c r="M9" s="20" t="str">
        <f>image("https://pokejungle.net/sprites/normal/0869-2-f.png")</f>
        <v/>
      </c>
      <c r="N9" s="16" t="str">
        <f>image("https://i.imgur.com/VQL4lPa.png")</f>
        <v/>
      </c>
      <c r="O9" s="20" t="str">
        <f>image("https://pokejungle.net/sprites/normal/0869-2-b.png")</f>
        <v/>
      </c>
      <c r="P9" s="121"/>
    </row>
    <row r="10" ht="26.25" customHeight="1">
      <c r="A10" s="25"/>
      <c r="B10" s="38" t="str">
        <f>image("https://i.imgur.com/bxys1sd.png")</f>
        <v/>
      </c>
      <c r="C10" s="36"/>
      <c r="D10" s="35" t="str">
        <f>image("https://i.imgur.com/RqSOGo6.png")</f>
        <v/>
      </c>
      <c r="E10" s="36"/>
      <c r="F10" s="35" t="str">
        <f>image("https://i.imgur.com/JDgAgAO.png")</f>
        <v/>
      </c>
      <c r="G10" s="36"/>
      <c r="H10" s="37" t="str">
        <f>image("https://i.imgur.com/XIu6jDl.png")</f>
        <v/>
      </c>
      <c r="I10" s="36"/>
      <c r="J10" s="38" t="str">
        <f>image("https://i.imgur.com/SF5CZ6U.png")</f>
        <v/>
      </c>
      <c r="K10" s="36"/>
      <c r="L10" s="35" t="str">
        <f>image("https://i.imgur.com/XI18XGu.png")</f>
        <v/>
      </c>
      <c r="M10" s="36"/>
      <c r="N10" s="38" t="str">
        <f>image("https://i.imgur.com/a9HBljD.png")</f>
        <v/>
      </c>
      <c r="O10" s="36"/>
      <c r="P10" s="33"/>
    </row>
    <row r="11" ht="26.25" customHeight="1">
      <c r="A11" s="50"/>
      <c r="B11" s="40"/>
      <c r="C11" s="41"/>
      <c r="D11" s="40"/>
      <c r="E11" s="41"/>
      <c r="F11" s="40"/>
      <c r="G11" s="41"/>
      <c r="H11" s="40"/>
      <c r="I11" s="41"/>
      <c r="J11" s="40"/>
      <c r="K11" s="41"/>
      <c r="L11" s="43"/>
      <c r="M11" s="41"/>
      <c r="N11" s="40"/>
      <c r="O11" s="41"/>
      <c r="P11" s="33"/>
    </row>
    <row r="12" ht="26.25" customHeight="1">
      <c r="A12" s="125" t="s">
        <v>2125</v>
      </c>
      <c r="B12" s="16" t="str">
        <f>image("https://i.imgur.com/XNzvO0H.png")</f>
        <v/>
      </c>
      <c r="C12" s="20" t="str">
        <f>image("https://pokejungle.net/sprites/normal/0869-3.png")</f>
        <v/>
      </c>
      <c r="D12" s="16" t="str">
        <f>image("https://i.imgur.com/XNzvO0H.png")</f>
        <v/>
      </c>
      <c r="E12" s="20" t="str">
        <f>image("https://pokejungle.net/sprites/normal/0869-3-e.png")</f>
        <v/>
      </c>
      <c r="F12" s="16" t="str">
        <f>image("https://i.imgur.com/XNzvO0H.png")</f>
        <v/>
      </c>
      <c r="G12" s="20" t="str">
        <f>image("https://pokejungle.net/sprites/normal/0869-3-c.png")</f>
        <v/>
      </c>
      <c r="H12" s="24" t="str">
        <f>image("https://i.imgur.com/XNzvO0H.png")</f>
        <v/>
      </c>
      <c r="I12" s="20" t="str">
        <f>image("https://pokejungle.net/sprites/normal/0869-3-d.png")</f>
        <v/>
      </c>
      <c r="J12" s="16" t="str">
        <f>image("https://i.imgur.com/XNzvO0H.png")</f>
        <v/>
      </c>
      <c r="K12" s="20" t="str">
        <f>image("https://pokejungle.net/sprites/normal/0869-3-a.png")</f>
        <v/>
      </c>
      <c r="L12" s="28" t="str">
        <f>image("https://i.imgur.com/XNzvO0H.png")</f>
        <v/>
      </c>
      <c r="M12" s="20" t="str">
        <f>image("https://pokejungle.net/sprites/normal/0869-3-f.png")</f>
        <v/>
      </c>
      <c r="N12" s="16" t="str">
        <f>image("https://i.imgur.com/XNzvO0H.png")</f>
        <v/>
      </c>
      <c r="O12" s="20" t="str">
        <f>image("https://pokejungle.net/sprites/normal/0869-3-b.png")</f>
        <v/>
      </c>
      <c r="P12" s="121"/>
    </row>
    <row r="13" ht="26.25" customHeight="1">
      <c r="A13" s="25"/>
      <c r="B13" s="38" t="str">
        <f>image("https://i.imgur.com/bxys1sd.png")</f>
        <v/>
      </c>
      <c r="C13" s="36"/>
      <c r="D13" s="35" t="str">
        <f>image("https://i.imgur.com/RqSOGo6.png")</f>
        <v/>
      </c>
      <c r="E13" s="36"/>
      <c r="F13" s="35" t="str">
        <f>image("https://i.imgur.com/JDgAgAO.png")</f>
        <v/>
      </c>
      <c r="G13" s="36"/>
      <c r="H13" s="37" t="str">
        <f>image("https://i.imgur.com/XIu6jDl.png")</f>
        <v/>
      </c>
      <c r="I13" s="36"/>
      <c r="J13" s="38" t="str">
        <f>image("https://i.imgur.com/SF5CZ6U.png")</f>
        <v/>
      </c>
      <c r="K13" s="36"/>
      <c r="L13" s="35" t="str">
        <f>image("https://i.imgur.com/XI18XGu.png")</f>
        <v/>
      </c>
      <c r="M13" s="36"/>
      <c r="N13" s="38" t="str">
        <f>image("https://i.imgur.com/a9HBljD.png")</f>
        <v/>
      </c>
      <c r="O13" s="36"/>
      <c r="P13" s="33"/>
    </row>
    <row r="14" ht="26.25" customHeight="1">
      <c r="A14" s="50"/>
      <c r="B14" s="40"/>
      <c r="C14" s="41"/>
      <c r="D14" s="40"/>
      <c r="E14" s="41"/>
      <c r="F14" s="40"/>
      <c r="G14" s="41"/>
      <c r="H14" s="40"/>
      <c r="I14" s="41"/>
      <c r="J14" s="40"/>
      <c r="K14" s="41"/>
      <c r="L14" s="43"/>
      <c r="M14" s="41"/>
      <c r="N14" s="40"/>
      <c r="O14" s="41"/>
      <c r="P14" s="33"/>
    </row>
    <row r="15" ht="26.25" customHeight="1">
      <c r="A15" s="125" t="s">
        <v>2141</v>
      </c>
      <c r="B15" s="16" t="str">
        <f>image("https://i.imgur.com/JDgAgAO.png")</f>
        <v/>
      </c>
      <c r="C15" s="20" t="str">
        <f>image("https://pokejungle.net/sprites/normal/0869-4.png")</f>
        <v/>
      </c>
      <c r="D15" s="16" t="str">
        <f>image("https://i.imgur.com/JDgAgAO.png")</f>
        <v/>
      </c>
      <c r="E15" s="20" t="str">
        <f>image("https://pokejungle.net/sprites/normal/0869-4-e.png")</f>
        <v/>
      </c>
      <c r="F15" s="16" t="str">
        <f t="shared" ref="F15:F16" si="3">image("https://i.imgur.com/JDgAgAO.png")</f>
        <v/>
      </c>
      <c r="G15" s="20" t="str">
        <f>image("https://pokejungle.net/sprites/normal/0869-4-c.png")</f>
        <v/>
      </c>
      <c r="H15" s="24" t="str">
        <f>image("https://i.imgur.com/JDgAgAO.png")</f>
        <v/>
      </c>
      <c r="I15" s="20" t="str">
        <f>image("https://pokejungle.net/sprites/normal/0869-4-d.png")</f>
        <v/>
      </c>
      <c r="J15" s="16" t="str">
        <f>image("https://i.imgur.com/JDgAgAO.png")</f>
        <v/>
      </c>
      <c r="K15" s="20" t="str">
        <f>image("https://pokejungle.net/sprites/normal/0869-4-a.png")</f>
        <v/>
      </c>
      <c r="L15" s="28" t="str">
        <f>image("https://i.imgur.com/JDgAgAO.png")</f>
        <v/>
      </c>
      <c r="M15" s="20" t="str">
        <f>image("https://pokejungle.net/sprites/normal/0869-4-f.png")</f>
        <v/>
      </c>
      <c r="N15" s="16" t="str">
        <f>image("https://i.imgur.com/JDgAgAO.png")</f>
        <v/>
      </c>
      <c r="O15" s="20" t="str">
        <f>image("https://pokejungle.net/sprites/normal/0869-4-b.png")</f>
        <v/>
      </c>
      <c r="P15" s="121"/>
    </row>
    <row r="16" ht="26.25" customHeight="1">
      <c r="A16" s="25"/>
      <c r="B16" s="38" t="str">
        <f>image("https://i.imgur.com/bxys1sd.png")</f>
        <v/>
      </c>
      <c r="C16" s="36"/>
      <c r="D16" s="35" t="str">
        <f>image("https://i.imgur.com/RqSOGo6.png")</f>
        <v/>
      </c>
      <c r="E16" s="36"/>
      <c r="F16" s="35" t="str">
        <f t="shared" si="3"/>
        <v/>
      </c>
      <c r="G16" s="36"/>
      <c r="H16" s="37" t="str">
        <f>image("https://i.imgur.com/XIu6jDl.png")</f>
        <v/>
      </c>
      <c r="I16" s="36"/>
      <c r="J16" s="38" t="str">
        <f>image("https://i.imgur.com/SF5CZ6U.png")</f>
        <v/>
      </c>
      <c r="K16" s="36"/>
      <c r="L16" s="35" t="str">
        <f>image("https://i.imgur.com/XI18XGu.png")</f>
        <v/>
      </c>
      <c r="M16" s="36"/>
      <c r="N16" s="38" t="str">
        <f>image("https://i.imgur.com/a9HBljD.png")</f>
        <v/>
      </c>
      <c r="O16" s="36"/>
      <c r="P16" s="33"/>
    </row>
    <row r="17" ht="26.25" customHeight="1">
      <c r="A17" s="50"/>
      <c r="B17" s="40"/>
      <c r="C17" s="41"/>
      <c r="D17" s="40"/>
      <c r="E17" s="41"/>
      <c r="F17" s="40"/>
      <c r="G17" s="41"/>
      <c r="H17" s="40"/>
      <c r="I17" s="41"/>
      <c r="J17" s="40"/>
      <c r="K17" s="41"/>
      <c r="L17" s="43"/>
      <c r="M17" s="41"/>
      <c r="N17" s="40"/>
      <c r="O17" s="41"/>
      <c r="P17" s="33"/>
    </row>
    <row r="18" ht="26.25" customHeight="1">
      <c r="A18" s="125" t="s">
        <v>2157</v>
      </c>
      <c r="B18" s="16" t="str">
        <f>image("https://i.imgur.com/0ArMZjJ.png")</f>
        <v/>
      </c>
      <c r="C18" s="20" t="str">
        <f>image("https://pokejungle.net/sprites/normal/0869-5.png")</f>
        <v/>
      </c>
      <c r="D18" s="16" t="str">
        <f>image("https://i.imgur.com/0ArMZjJ.png")</f>
        <v/>
      </c>
      <c r="E18" s="20" t="str">
        <f>image("https://pokejungle.net/sprites/normal/0869-5-e.png")</f>
        <v/>
      </c>
      <c r="F18" s="16" t="str">
        <f>image("https://i.imgur.com/0ArMZjJ.png")</f>
        <v/>
      </c>
      <c r="G18" s="20" t="str">
        <f>image("https://pokejungle.net/sprites/normal/0869-5-c.png")</f>
        <v/>
      </c>
      <c r="H18" s="24" t="str">
        <f>image("https://i.imgur.com/0ArMZjJ.png")</f>
        <v/>
      </c>
      <c r="I18" s="20" t="str">
        <f>image("https://pokejungle.net/sprites/normal/0869-5-d.png")</f>
        <v/>
      </c>
      <c r="J18" s="16" t="str">
        <f>image("https://i.imgur.com/0ArMZjJ.png")</f>
        <v/>
      </c>
      <c r="K18" s="20" t="str">
        <f>image("https://pokejungle.net/sprites/normal/0869-5-a.png")</f>
        <v/>
      </c>
      <c r="L18" s="28" t="str">
        <f>image("https://i.imgur.com/0ArMZjJ.png")</f>
        <v/>
      </c>
      <c r="M18" s="20" t="str">
        <f>image("https://pokejungle.net/sprites/normal/0869-5-f.png")</f>
        <v/>
      </c>
      <c r="N18" s="16" t="str">
        <f>image("https://i.imgur.com/0ArMZjJ.png")</f>
        <v/>
      </c>
      <c r="O18" s="20" t="str">
        <f>image("https://pokejungle.net/sprites/normal/0869-5-b.png")</f>
        <v/>
      </c>
      <c r="P18" s="121"/>
    </row>
    <row r="19" ht="26.25" customHeight="1">
      <c r="A19" s="25"/>
      <c r="B19" s="38" t="str">
        <f>image("https://i.imgur.com/bxys1sd.png")</f>
        <v/>
      </c>
      <c r="C19" s="36"/>
      <c r="D19" s="35" t="str">
        <f>image("https://i.imgur.com/RqSOGo6.png")</f>
        <v/>
      </c>
      <c r="E19" s="36"/>
      <c r="F19" s="35" t="str">
        <f>image("https://i.imgur.com/JDgAgAO.png")</f>
        <v/>
      </c>
      <c r="G19" s="36"/>
      <c r="H19" s="37" t="str">
        <f>image("https://i.imgur.com/XIu6jDl.png")</f>
        <v/>
      </c>
      <c r="I19" s="36"/>
      <c r="J19" s="38" t="str">
        <f>image("https://i.imgur.com/SF5CZ6U.png")</f>
        <v/>
      </c>
      <c r="K19" s="36"/>
      <c r="L19" s="35" t="str">
        <f>image("https://i.imgur.com/XI18XGu.png")</f>
        <v/>
      </c>
      <c r="M19" s="36"/>
      <c r="N19" s="38" t="str">
        <f>image("https://i.imgur.com/a9HBljD.png")</f>
        <v/>
      </c>
      <c r="O19" s="36"/>
      <c r="P19" s="33"/>
    </row>
    <row r="20" ht="26.25" customHeight="1">
      <c r="A20" s="50"/>
      <c r="B20" s="40"/>
      <c r="C20" s="41"/>
      <c r="D20" s="40"/>
      <c r="E20" s="41"/>
      <c r="F20" s="40"/>
      <c r="G20" s="41"/>
      <c r="H20" s="40"/>
      <c r="I20" s="41"/>
      <c r="J20" s="40"/>
      <c r="K20" s="41"/>
      <c r="L20" s="43"/>
      <c r="M20" s="41"/>
      <c r="N20" s="40"/>
      <c r="O20" s="41"/>
      <c r="P20" s="33"/>
    </row>
    <row r="21" ht="26.25" customHeight="1">
      <c r="A21" s="125" t="s">
        <v>2158</v>
      </c>
      <c r="B21" s="16" t="str">
        <f>image("https://i.imgur.com/a9HBljD.png")</f>
        <v/>
      </c>
      <c r="C21" s="20" t="str">
        <f>image("https://pokejungle.net/sprites/normal/0869-6.png")</f>
        <v/>
      </c>
      <c r="D21" s="16" t="str">
        <f>image("https://i.imgur.com/a9HBljD.png")</f>
        <v/>
      </c>
      <c r="E21" s="20" t="str">
        <f>image("https://pokejungle.net/sprites/normal/0869-6-e.png")</f>
        <v/>
      </c>
      <c r="F21" s="16" t="str">
        <f>image("https://i.imgur.com/a9HBljD.png")</f>
        <v/>
      </c>
      <c r="G21" s="20" t="str">
        <f>image("https://pokejungle.net/sprites/normal/0869-6-c.png")</f>
        <v/>
      </c>
      <c r="H21" s="24" t="str">
        <f>image("https://i.imgur.com/a9HBljD.png")</f>
        <v/>
      </c>
      <c r="I21" s="20" t="str">
        <f>image("https://pokejungle.net/sprites/normal/0869-6-d.png")</f>
        <v/>
      </c>
      <c r="J21" s="16" t="str">
        <f>image("https://i.imgur.com/a9HBljD.png")</f>
        <v/>
      </c>
      <c r="K21" s="20" t="str">
        <f>image("https://pokejungle.net/sprites/normal/0869-6-a.png")</f>
        <v/>
      </c>
      <c r="L21" s="28" t="str">
        <f>image("https://i.imgur.com/a9HBljD.png")</f>
        <v/>
      </c>
      <c r="M21" s="20" t="str">
        <f>image("https://pokejungle.net/sprites/normal/0869-6-f.png")</f>
        <v/>
      </c>
      <c r="N21" s="16" t="str">
        <f t="shared" ref="N21:N22" si="4">image("https://i.imgur.com/a9HBljD.png")</f>
        <v/>
      </c>
      <c r="O21" s="20" t="str">
        <f>image("https://pokejungle.net/sprites/normal/0869-6-b.png")</f>
        <v/>
      </c>
      <c r="P21" s="121"/>
    </row>
    <row r="22" ht="26.25" customHeight="1">
      <c r="A22" s="25"/>
      <c r="B22" s="38" t="str">
        <f>image("https://i.imgur.com/bxys1sd.png")</f>
        <v/>
      </c>
      <c r="C22" s="36"/>
      <c r="D22" s="35" t="str">
        <f>image("https://i.imgur.com/RqSOGo6.png")</f>
        <v/>
      </c>
      <c r="E22" s="36"/>
      <c r="F22" s="35" t="str">
        <f>image("https://i.imgur.com/JDgAgAO.png")</f>
        <v/>
      </c>
      <c r="G22" s="36"/>
      <c r="H22" s="37" t="str">
        <f>image("https://i.imgur.com/XIu6jDl.png")</f>
        <v/>
      </c>
      <c r="I22" s="36"/>
      <c r="J22" s="38" t="str">
        <f>image("https://i.imgur.com/SF5CZ6U.png")</f>
        <v/>
      </c>
      <c r="K22" s="36"/>
      <c r="L22" s="35" t="str">
        <f>image("https://i.imgur.com/XI18XGu.png")</f>
        <v/>
      </c>
      <c r="M22" s="36"/>
      <c r="N22" s="38" t="str">
        <f t="shared" si="4"/>
        <v/>
      </c>
      <c r="O22" s="36"/>
      <c r="P22" s="33"/>
    </row>
    <row r="23" ht="26.25" customHeight="1">
      <c r="A23" s="50"/>
      <c r="B23" s="40"/>
      <c r="C23" s="41"/>
      <c r="D23" s="40"/>
      <c r="E23" s="41"/>
      <c r="F23" s="40"/>
      <c r="G23" s="41"/>
      <c r="H23" s="40"/>
      <c r="I23" s="41"/>
      <c r="J23" s="40"/>
      <c r="K23" s="41"/>
      <c r="L23" s="43"/>
      <c r="M23" s="41"/>
      <c r="N23" s="40"/>
      <c r="O23" s="41"/>
      <c r="P23" s="33"/>
    </row>
    <row r="24" ht="26.25" customHeight="1">
      <c r="A24" s="125" t="s">
        <v>2191</v>
      </c>
      <c r="B24" s="16" t="str">
        <f>image("https://i.imgur.com/XIu6jDl.png")</f>
        <v/>
      </c>
      <c r="C24" s="20" t="str">
        <f>image("https://pokejungle.net/sprites/normal/0869-7.png")</f>
        <v/>
      </c>
      <c r="D24" s="16" t="str">
        <f>image("https://i.imgur.com/XIu6jDl.png")</f>
        <v/>
      </c>
      <c r="E24" s="20" t="str">
        <f>image("https://pokejungle.net/sprites/normal/0869-7-e.png")</f>
        <v/>
      </c>
      <c r="F24" s="16" t="str">
        <f>image("https://i.imgur.com/XIu6jDl.png")</f>
        <v/>
      </c>
      <c r="G24" s="20" t="str">
        <f>image("https://pokejungle.net/sprites/normal/0869-7-c.png")</f>
        <v/>
      </c>
      <c r="H24" s="24" t="str">
        <f t="shared" ref="H24:H25" si="5">image("https://i.imgur.com/XIu6jDl.png")</f>
        <v/>
      </c>
      <c r="I24" s="20" t="str">
        <f>image("https://pokejungle.net/sprites/normal/0869-7-d.png")</f>
        <v/>
      </c>
      <c r="J24" s="16" t="str">
        <f>image("https://i.imgur.com/XIu6jDl.png")</f>
        <v/>
      </c>
      <c r="K24" s="20" t="str">
        <f>image("https://pokejungle.net/sprites/normal/0869-7-a.png")</f>
        <v/>
      </c>
      <c r="L24" s="28" t="str">
        <f>image("https://i.imgur.com/XIu6jDl.png")</f>
        <v/>
      </c>
      <c r="M24" s="20" t="str">
        <f>image("https://pokejungle.net/sprites/normal/0869-7-f.png")</f>
        <v/>
      </c>
      <c r="N24" s="16" t="str">
        <f>image("https://i.imgur.com/XIu6jDl.png")</f>
        <v/>
      </c>
      <c r="O24" s="20" t="str">
        <f>image("https://pokejungle.net/sprites/normal/0869-7-b.png")</f>
        <v/>
      </c>
      <c r="P24" s="121"/>
    </row>
    <row r="25" ht="26.25" customHeight="1">
      <c r="A25" s="25"/>
      <c r="B25" s="38" t="str">
        <f>image("https://i.imgur.com/bxys1sd.png")</f>
        <v/>
      </c>
      <c r="C25" s="36"/>
      <c r="D25" s="35" t="str">
        <f>image("https://i.imgur.com/RqSOGo6.png")</f>
        <v/>
      </c>
      <c r="E25" s="36"/>
      <c r="F25" s="35" t="str">
        <f>image("https://i.imgur.com/JDgAgAO.png")</f>
        <v/>
      </c>
      <c r="G25" s="36"/>
      <c r="H25" s="37" t="str">
        <f t="shared" si="5"/>
        <v/>
      </c>
      <c r="I25" s="36"/>
      <c r="J25" s="38" t="str">
        <f>image("https://i.imgur.com/SF5CZ6U.png")</f>
        <v/>
      </c>
      <c r="K25" s="36"/>
      <c r="L25" s="35" t="str">
        <f>image("https://i.imgur.com/XI18XGu.png")</f>
        <v/>
      </c>
      <c r="M25" s="36"/>
      <c r="N25" s="38" t="str">
        <f>image("https://i.imgur.com/a9HBljD.png")</f>
        <v/>
      </c>
      <c r="O25" s="36"/>
      <c r="P25" s="33"/>
    </row>
    <row r="26" ht="26.25" customHeight="1">
      <c r="A26" s="50"/>
      <c r="B26" s="40"/>
      <c r="C26" s="41"/>
      <c r="D26" s="40"/>
      <c r="E26" s="41"/>
      <c r="F26" s="40"/>
      <c r="G26" s="41"/>
      <c r="H26" s="40"/>
      <c r="I26" s="41"/>
      <c r="J26" s="40"/>
      <c r="K26" s="41"/>
      <c r="L26" s="43"/>
      <c r="M26" s="41"/>
      <c r="N26" s="40"/>
      <c r="O26" s="41"/>
      <c r="P26" s="33"/>
    </row>
    <row r="27" ht="26.25" customHeight="1">
      <c r="A27" s="125" t="s">
        <v>2192</v>
      </c>
      <c r="B27" s="16" t="str">
        <f>image("https://i.imgur.com/rAI9Gyi.png")</f>
        <v/>
      </c>
      <c r="C27" s="20" t="str">
        <f>image("https://pokejungle.net/sprites/normal/0869-8.png")</f>
        <v/>
      </c>
      <c r="D27" s="16" t="str">
        <f>image("https://i.imgur.com/rAI9Gyi.png")</f>
        <v/>
      </c>
      <c r="E27" s="20" t="str">
        <f>image("https://pokejungle.net/sprites/normal/0869-8-e.png")</f>
        <v/>
      </c>
      <c r="F27" s="16" t="str">
        <f>image("https://i.imgur.com/rAI9Gyi.png")</f>
        <v/>
      </c>
      <c r="G27" s="20" t="str">
        <f>image("https://pokejungle.net/sprites/normal/0869-8-c.png")</f>
        <v/>
      </c>
      <c r="H27" s="24" t="str">
        <f>image("https://i.imgur.com/rAI9Gyi.png")</f>
        <v/>
      </c>
      <c r="I27" s="20" t="str">
        <f>image("https://pokejungle.net/sprites/normal/0869-8-d.png")</f>
        <v/>
      </c>
      <c r="J27" s="16" t="str">
        <f>image("https://i.imgur.com/rAI9Gyi.png")</f>
        <v/>
      </c>
      <c r="K27" s="20" t="str">
        <f>image("https://pokejungle.net/sprites/normal/0869-8-a.png")</f>
        <v/>
      </c>
      <c r="L27" s="28" t="str">
        <f>image("https://i.imgur.com/rAI9Gyi.png")</f>
        <v/>
      </c>
      <c r="M27" s="20" t="str">
        <f>image("https://pokejungle.net/sprites/normal/0869-8-f.png")</f>
        <v/>
      </c>
      <c r="N27" s="16" t="str">
        <f>image("https://i.imgur.com/rAI9Gyi.png")</f>
        <v/>
      </c>
      <c r="O27" s="20" t="str">
        <f>image("https://pokejungle.net/sprites/normal/0869-8-b.png")</f>
        <v/>
      </c>
      <c r="P27" s="121"/>
    </row>
    <row r="28" ht="26.25" customHeight="1">
      <c r="A28" s="25"/>
      <c r="B28" s="38" t="str">
        <f>image("https://i.imgur.com/bxys1sd.png")</f>
        <v/>
      </c>
      <c r="C28" s="36"/>
      <c r="D28" s="35" t="str">
        <f>image("https://i.imgur.com/RqSOGo6.png")</f>
        <v/>
      </c>
      <c r="E28" s="36"/>
      <c r="F28" s="35" t="str">
        <f>image("https://i.imgur.com/JDgAgAO.png")</f>
        <v/>
      </c>
      <c r="G28" s="36"/>
      <c r="H28" s="37" t="str">
        <f>image("https://i.imgur.com/XIu6jDl.png")</f>
        <v/>
      </c>
      <c r="I28" s="36"/>
      <c r="J28" s="38" t="str">
        <f>image("https://i.imgur.com/SF5CZ6U.png")</f>
        <v/>
      </c>
      <c r="K28" s="36"/>
      <c r="L28" s="35" t="str">
        <f>image("https://i.imgur.com/XI18XGu.png")</f>
        <v/>
      </c>
      <c r="M28" s="36"/>
      <c r="N28" s="38" t="str">
        <f>image("https://i.imgur.com/a9HBljD.png")</f>
        <v/>
      </c>
      <c r="O28" s="36"/>
      <c r="P28" s="33"/>
    </row>
    <row r="29" ht="26.25" customHeight="1">
      <c r="A29" s="50"/>
      <c r="B29" s="40"/>
      <c r="C29" s="41"/>
      <c r="D29" s="40"/>
      <c r="E29" s="41"/>
      <c r="F29" s="40"/>
      <c r="G29" s="41"/>
      <c r="H29" s="40"/>
      <c r="I29" s="41"/>
      <c r="J29" s="40"/>
      <c r="K29" s="41"/>
      <c r="L29" s="43"/>
      <c r="M29" s="41"/>
      <c r="N29" s="40"/>
      <c r="O29" s="41"/>
      <c r="P29" s="33"/>
    </row>
    <row r="30" ht="26.25" customHeight="1">
      <c r="A30" s="125" t="s">
        <v>2193</v>
      </c>
      <c r="B30" s="16" t="str">
        <f>image("https://i.imgur.com/EkqYYOB.png")</f>
        <v/>
      </c>
      <c r="C30" s="20" t="str">
        <f>image("https://pokejungle.net/sprites/shiny/0869.png")</f>
        <v/>
      </c>
      <c r="D30" s="16" t="str">
        <f>image("https://i.imgur.com/EkqYYOB.png")</f>
        <v/>
      </c>
      <c r="E30" s="20" t="str">
        <f>image("https://pokejungle.net/sprites/shiny/0869-5.png")</f>
        <v/>
      </c>
      <c r="F30" s="16" t="str">
        <f>image("https://i.imgur.com/EkqYYOB.png")</f>
        <v/>
      </c>
      <c r="G30" s="20" t="str">
        <f>image("https://pokejungle.net/sprites/shiny/0869-3.png")</f>
        <v/>
      </c>
      <c r="H30" s="24" t="str">
        <f>image("https://i.imgur.com/EkqYYOB.png")</f>
        <v/>
      </c>
      <c r="I30" s="20" t="str">
        <f>image("https://pokejungle.net/sprites/shiny/0869-4.png")</f>
        <v/>
      </c>
      <c r="J30" s="16" t="str">
        <f>image("https://i.imgur.com/EkqYYOB.png")</f>
        <v/>
      </c>
      <c r="K30" s="20" t="str">
        <f>image("https://pokejungle.net/sprites/shiny/0869-1.png")</f>
        <v/>
      </c>
      <c r="L30" s="28" t="str">
        <f>image("https://i.imgur.com/EkqYYOB.png")</f>
        <v/>
      </c>
      <c r="M30" s="20" t="str">
        <f>image("https://pokejungle.net/sprites/shiny/0869-6.png")</f>
        <v/>
      </c>
      <c r="N30" s="16" t="str">
        <f>image("https://i.imgur.com/EkqYYOB.png")</f>
        <v/>
      </c>
      <c r="O30" s="20" t="str">
        <f>image("https://pokejungle.net/sprites/shiny/0869-2.png")</f>
        <v/>
      </c>
      <c r="P30" s="121"/>
    </row>
    <row r="31" ht="26.25" customHeight="1">
      <c r="A31" s="25"/>
      <c r="B31" s="38" t="str">
        <f>image("https://i.imgur.com/bxys1sd.png")</f>
        <v/>
      </c>
      <c r="C31" s="36"/>
      <c r="D31" s="35" t="str">
        <f>image("https://i.imgur.com/RqSOGo6.png")</f>
        <v/>
      </c>
      <c r="E31" s="36"/>
      <c r="F31" s="35" t="str">
        <f>image("https://i.imgur.com/JDgAgAO.png")</f>
        <v/>
      </c>
      <c r="G31" s="36"/>
      <c r="H31" s="37" t="str">
        <f>image("https://i.imgur.com/XIu6jDl.png")</f>
        <v/>
      </c>
      <c r="I31" s="36"/>
      <c r="J31" s="38" t="str">
        <f>image("https://i.imgur.com/SF5CZ6U.png")</f>
        <v/>
      </c>
      <c r="K31" s="36"/>
      <c r="L31" s="35" t="str">
        <f>image("https://i.imgur.com/XI18XGu.png")</f>
        <v/>
      </c>
      <c r="M31" s="36"/>
      <c r="N31" s="38" t="str">
        <f>image("https://i.imgur.com/a9HBljD.png")</f>
        <v/>
      </c>
      <c r="O31" s="36"/>
      <c r="P31" s="33"/>
    </row>
    <row r="32" ht="26.25" customHeight="1">
      <c r="A32" s="50"/>
      <c r="B32" s="40"/>
      <c r="C32" s="41"/>
      <c r="D32" s="40"/>
      <c r="E32" s="41"/>
      <c r="F32" s="40"/>
      <c r="G32" s="41"/>
      <c r="H32" s="40"/>
      <c r="I32" s="41"/>
      <c r="J32" s="40"/>
      <c r="K32" s="41"/>
      <c r="L32" s="43"/>
      <c r="M32" s="41"/>
      <c r="N32" s="40"/>
      <c r="O32" s="41"/>
      <c r="P32" s="33"/>
    </row>
    <row r="33" ht="18.75" customHeight="1">
      <c r="A33" s="1"/>
      <c r="B33" s="2"/>
      <c r="C33" s="1"/>
      <c r="D33" s="2"/>
      <c r="E33" s="1"/>
      <c r="F33" s="2"/>
      <c r="G33" s="1"/>
      <c r="H33" s="2"/>
      <c r="I33" s="1"/>
      <c r="J33" s="2"/>
      <c r="K33" s="1"/>
      <c r="L33" s="2"/>
      <c r="M33" s="1"/>
      <c r="N33" s="2"/>
      <c r="O33" s="1"/>
      <c r="P33" s="1"/>
    </row>
    <row r="34" ht="15.75" hidden="1" customHeight="1">
      <c r="B34" s="123"/>
      <c r="D34" s="123"/>
      <c r="F34" s="123"/>
      <c r="H34" s="123"/>
      <c r="J34" s="123"/>
      <c r="L34" s="123"/>
      <c r="N34" s="123"/>
    </row>
    <row r="35" ht="15.75" hidden="1" customHeight="1">
      <c r="B35" s="123"/>
      <c r="D35" s="123"/>
      <c r="F35" s="123"/>
      <c r="H35" s="123"/>
      <c r="J35" s="123"/>
      <c r="L35" s="123"/>
      <c r="N35" s="123"/>
    </row>
    <row r="36" ht="15.75" hidden="1" customHeight="1">
      <c r="B36" s="123"/>
      <c r="D36" s="123"/>
      <c r="F36" s="123"/>
      <c r="H36" s="123"/>
      <c r="J36" s="123"/>
      <c r="L36" s="123"/>
      <c r="N36" s="123"/>
    </row>
    <row r="37" ht="15.75" hidden="1" customHeight="1">
      <c r="B37" s="123"/>
      <c r="D37" s="123"/>
      <c r="F37" s="123"/>
      <c r="H37" s="123"/>
      <c r="J37" s="123"/>
      <c r="L37" s="123"/>
      <c r="N37" s="123"/>
    </row>
    <row r="38" ht="15.75" hidden="1" customHeight="1">
      <c r="B38" s="123"/>
      <c r="D38" s="123"/>
      <c r="F38" s="123"/>
      <c r="H38" s="123"/>
      <c r="J38" s="123"/>
      <c r="L38" s="123"/>
      <c r="N38" s="123"/>
    </row>
    <row r="39" ht="15.75" hidden="1" customHeight="1">
      <c r="B39" s="123"/>
      <c r="D39" s="123"/>
      <c r="F39" s="123"/>
      <c r="H39" s="123"/>
      <c r="J39" s="123"/>
      <c r="L39" s="123"/>
      <c r="N39" s="123"/>
    </row>
    <row r="40" ht="15.75" hidden="1" customHeight="1">
      <c r="B40" s="123"/>
      <c r="D40" s="123"/>
      <c r="F40" s="123"/>
      <c r="H40" s="123"/>
      <c r="J40" s="123"/>
      <c r="L40" s="123"/>
      <c r="N40" s="123"/>
    </row>
    <row r="41" ht="15.75" hidden="1" customHeight="1">
      <c r="B41" s="123"/>
      <c r="D41" s="123"/>
      <c r="F41" s="123"/>
      <c r="H41" s="123"/>
      <c r="J41" s="123"/>
      <c r="L41" s="123"/>
      <c r="N41" s="123"/>
    </row>
    <row r="42" ht="15.75" hidden="1" customHeight="1">
      <c r="B42" s="123"/>
      <c r="D42" s="123"/>
      <c r="F42" s="123"/>
      <c r="H42" s="123"/>
      <c r="J42" s="123"/>
      <c r="L42" s="123"/>
      <c r="N42" s="123"/>
    </row>
    <row r="43" ht="15.75" hidden="1" customHeight="1">
      <c r="B43" s="123"/>
      <c r="D43" s="123"/>
      <c r="F43" s="123"/>
      <c r="H43" s="123"/>
      <c r="J43" s="123"/>
      <c r="L43" s="123"/>
      <c r="N43" s="123"/>
    </row>
    <row r="44" ht="15.75" hidden="1" customHeight="1">
      <c r="B44" s="123"/>
      <c r="D44" s="123"/>
      <c r="F44" s="123"/>
      <c r="H44" s="123"/>
      <c r="J44" s="123"/>
      <c r="L44" s="123"/>
      <c r="N44" s="123"/>
    </row>
    <row r="45" ht="15.75" hidden="1" customHeight="1">
      <c r="B45" s="123"/>
      <c r="D45" s="123"/>
      <c r="F45" s="123"/>
      <c r="H45" s="123"/>
      <c r="J45" s="123"/>
      <c r="L45" s="123"/>
      <c r="N45" s="123"/>
    </row>
    <row r="46" ht="15.75" hidden="1" customHeight="1">
      <c r="B46" s="123"/>
      <c r="D46" s="123"/>
      <c r="F46" s="123"/>
      <c r="H46" s="123"/>
      <c r="J46" s="123"/>
      <c r="L46" s="123"/>
      <c r="N46" s="123"/>
    </row>
    <row r="47" ht="15.75" hidden="1" customHeight="1">
      <c r="B47" s="123"/>
      <c r="D47" s="123"/>
      <c r="F47" s="123"/>
      <c r="H47" s="123"/>
      <c r="J47" s="123"/>
      <c r="L47" s="123"/>
      <c r="N47" s="123"/>
    </row>
    <row r="48" ht="15.75" hidden="1" customHeight="1">
      <c r="B48" s="123"/>
      <c r="D48" s="123"/>
      <c r="F48" s="123"/>
      <c r="H48" s="123"/>
      <c r="J48" s="123"/>
      <c r="L48" s="123"/>
      <c r="N48" s="123"/>
    </row>
    <row r="49" ht="15.75" hidden="1" customHeight="1">
      <c r="B49" s="123"/>
      <c r="D49" s="123"/>
      <c r="F49" s="123"/>
      <c r="H49" s="123"/>
      <c r="J49" s="123"/>
      <c r="L49" s="123"/>
      <c r="N49" s="123"/>
    </row>
    <row r="50" ht="15.75" hidden="1" customHeight="1">
      <c r="B50" s="123"/>
      <c r="D50" s="123"/>
      <c r="F50" s="123"/>
      <c r="H50" s="123"/>
      <c r="J50" s="123"/>
      <c r="L50" s="123"/>
      <c r="N50" s="123"/>
    </row>
    <row r="51" ht="15.75" hidden="1" customHeight="1">
      <c r="B51" s="123"/>
      <c r="D51" s="123"/>
      <c r="F51" s="123"/>
      <c r="H51" s="123"/>
      <c r="J51" s="123"/>
      <c r="L51" s="123"/>
      <c r="N51" s="123"/>
    </row>
    <row r="52" ht="15.75" hidden="1" customHeight="1">
      <c r="B52" s="123"/>
      <c r="D52" s="123"/>
      <c r="F52" s="123"/>
      <c r="H52" s="123"/>
      <c r="J52" s="123"/>
      <c r="L52" s="123"/>
      <c r="N52" s="123"/>
    </row>
    <row r="53" ht="15.75" hidden="1" customHeight="1">
      <c r="B53" s="123"/>
      <c r="D53" s="123"/>
      <c r="F53" s="123"/>
      <c r="H53" s="123"/>
      <c r="J53" s="123"/>
      <c r="L53" s="123"/>
      <c r="N53" s="123"/>
    </row>
    <row r="54" ht="15.75" hidden="1" customHeight="1">
      <c r="B54" s="123"/>
      <c r="D54" s="123"/>
      <c r="F54" s="123"/>
      <c r="H54" s="123"/>
      <c r="J54" s="123"/>
      <c r="L54" s="123"/>
      <c r="N54" s="123"/>
    </row>
    <row r="55" ht="15.75" hidden="1" customHeight="1">
      <c r="B55" s="123"/>
      <c r="D55" s="123"/>
      <c r="F55" s="123"/>
      <c r="H55" s="123"/>
      <c r="J55" s="123"/>
      <c r="L55" s="123"/>
      <c r="N55" s="123"/>
    </row>
    <row r="56" ht="15.75" hidden="1" customHeight="1">
      <c r="B56" s="123"/>
      <c r="D56" s="123"/>
      <c r="F56" s="123"/>
      <c r="H56" s="123"/>
      <c r="J56" s="123"/>
      <c r="L56" s="123"/>
      <c r="N56" s="123"/>
    </row>
    <row r="57" ht="15.75" hidden="1" customHeight="1">
      <c r="B57" s="123"/>
      <c r="D57" s="123"/>
      <c r="F57" s="123"/>
      <c r="H57" s="123"/>
      <c r="J57" s="123"/>
      <c r="L57" s="123"/>
      <c r="N57" s="123"/>
    </row>
    <row r="58" ht="15.75" hidden="1" customHeight="1">
      <c r="B58" s="123"/>
      <c r="D58" s="123"/>
      <c r="F58" s="123"/>
      <c r="H58" s="123"/>
      <c r="J58" s="123"/>
      <c r="L58" s="123"/>
      <c r="N58" s="123"/>
    </row>
    <row r="59" ht="15.75" hidden="1" customHeight="1">
      <c r="B59" s="123"/>
      <c r="D59" s="123"/>
      <c r="F59" s="123"/>
      <c r="H59" s="123"/>
      <c r="J59" s="123"/>
      <c r="L59" s="123"/>
      <c r="N59" s="123"/>
    </row>
    <row r="60" ht="15.75" hidden="1" customHeight="1">
      <c r="B60" s="123"/>
      <c r="D60" s="123"/>
      <c r="F60" s="123"/>
      <c r="H60" s="123"/>
      <c r="J60" s="123"/>
      <c r="L60" s="123"/>
      <c r="N60" s="123"/>
    </row>
    <row r="61" ht="15.75" hidden="1" customHeight="1">
      <c r="B61" s="123"/>
      <c r="D61" s="123"/>
      <c r="F61" s="123"/>
      <c r="H61" s="123"/>
      <c r="J61" s="123"/>
      <c r="L61" s="123"/>
      <c r="N61" s="123"/>
    </row>
    <row r="62" ht="15.75" hidden="1" customHeight="1">
      <c r="B62" s="123"/>
      <c r="D62" s="123"/>
      <c r="F62" s="123"/>
      <c r="H62" s="123"/>
      <c r="J62" s="123"/>
      <c r="L62" s="123"/>
      <c r="N62" s="123"/>
    </row>
    <row r="63" ht="15.75" hidden="1" customHeight="1">
      <c r="B63" s="123"/>
      <c r="D63" s="123"/>
      <c r="F63" s="123"/>
      <c r="H63" s="123"/>
      <c r="J63" s="123"/>
      <c r="L63" s="123"/>
      <c r="N63" s="123"/>
    </row>
    <row r="64" ht="15.75" hidden="1" customHeight="1">
      <c r="B64" s="123"/>
      <c r="D64" s="123"/>
      <c r="F64" s="123"/>
      <c r="H64" s="123"/>
      <c r="J64" s="123"/>
      <c r="L64" s="123"/>
      <c r="N64" s="123"/>
    </row>
    <row r="65" ht="15.75" hidden="1" customHeight="1">
      <c r="B65" s="123"/>
      <c r="D65" s="123"/>
      <c r="F65" s="123"/>
      <c r="H65" s="123"/>
      <c r="J65" s="123"/>
      <c r="L65" s="123"/>
      <c r="N65" s="123"/>
    </row>
    <row r="66" ht="15.75" hidden="1" customHeight="1">
      <c r="B66" s="123"/>
      <c r="D66" s="123"/>
      <c r="F66" s="123"/>
      <c r="H66" s="123"/>
      <c r="J66" s="123"/>
      <c r="L66" s="123"/>
      <c r="N66" s="123"/>
    </row>
    <row r="67" ht="15.75" hidden="1" customHeight="1">
      <c r="B67" s="123"/>
      <c r="D67" s="123"/>
      <c r="F67" s="123"/>
      <c r="H67" s="123"/>
      <c r="J67" s="123"/>
      <c r="L67" s="123"/>
      <c r="N67" s="123"/>
    </row>
    <row r="68" ht="15.75" hidden="1" customHeight="1">
      <c r="B68" s="123"/>
      <c r="D68" s="123"/>
      <c r="F68" s="123"/>
      <c r="H68" s="123"/>
      <c r="J68" s="123"/>
      <c r="L68" s="123"/>
      <c r="N68" s="123"/>
    </row>
    <row r="69" ht="15.75" hidden="1" customHeight="1">
      <c r="B69" s="123"/>
      <c r="D69" s="123"/>
      <c r="F69" s="123"/>
      <c r="H69" s="123"/>
      <c r="J69" s="123"/>
      <c r="L69" s="123"/>
      <c r="N69" s="123"/>
    </row>
    <row r="70" ht="15.75" hidden="1" customHeight="1">
      <c r="B70" s="123"/>
      <c r="D70" s="123"/>
      <c r="F70" s="123"/>
      <c r="H70" s="123"/>
      <c r="J70" s="123"/>
      <c r="L70" s="123"/>
      <c r="N70" s="123"/>
    </row>
    <row r="71" ht="15.75" hidden="1" customHeight="1">
      <c r="B71" s="123"/>
      <c r="D71" s="123"/>
      <c r="F71" s="123"/>
      <c r="H71" s="123"/>
      <c r="J71" s="123"/>
      <c r="L71" s="123"/>
      <c r="N71" s="123"/>
    </row>
    <row r="72" ht="15.75" hidden="1" customHeight="1">
      <c r="B72" s="123"/>
      <c r="D72" s="123"/>
      <c r="F72" s="123"/>
      <c r="H72" s="123"/>
      <c r="J72" s="123"/>
      <c r="L72" s="123"/>
      <c r="N72" s="123"/>
    </row>
    <row r="73" ht="15.75" hidden="1" customHeight="1">
      <c r="B73" s="123"/>
      <c r="D73" s="123"/>
      <c r="F73" s="123"/>
      <c r="H73" s="123"/>
      <c r="J73" s="123"/>
      <c r="L73" s="123"/>
      <c r="N73" s="123"/>
    </row>
    <row r="74" ht="15.75" hidden="1" customHeight="1">
      <c r="B74" s="123"/>
      <c r="D74" s="123"/>
      <c r="F74" s="123"/>
      <c r="H74" s="123"/>
      <c r="J74" s="123"/>
      <c r="L74" s="123"/>
      <c r="N74" s="123"/>
    </row>
    <row r="75" ht="15.75" hidden="1" customHeight="1">
      <c r="B75" s="123"/>
      <c r="D75" s="123"/>
      <c r="F75" s="123"/>
      <c r="H75" s="123"/>
      <c r="J75" s="123"/>
      <c r="L75" s="123"/>
      <c r="N75" s="123"/>
    </row>
    <row r="76" ht="15.75" hidden="1" customHeight="1">
      <c r="B76" s="123"/>
      <c r="D76" s="123"/>
      <c r="F76" s="123"/>
      <c r="H76" s="123"/>
      <c r="J76" s="123"/>
      <c r="L76" s="123"/>
      <c r="N76" s="123"/>
    </row>
    <row r="77" ht="15.75" hidden="1" customHeight="1">
      <c r="B77" s="123"/>
      <c r="D77" s="123"/>
      <c r="F77" s="123"/>
      <c r="H77" s="123"/>
      <c r="J77" s="123"/>
      <c r="L77" s="123"/>
      <c r="N77" s="123"/>
    </row>
    <row r="78" ht="15.75" hidden="1" customHeight="1">
      <c r="B78" s="123"/>
      <c r="D78" s="123"/>
      <c r="F78" s="123"/>
      <c r="H78" s="123"/>
      <c r="J78" s="123"/>
      <c r="L78" s="123"/>
      <c r="N78" s="123"/>
    </row>
    <row r="79" ht="15.75" hidden="1" customHeight="1">
      <c r="B79" s="123"/>
      <c r="D79" s="123"/>
      <c r="F79" s="123"/>
      <c r="H79" s="123"/>
      <c r="J79" s="123"/>
      <c r="L79" s="123"/>
      <c r="N79" s="123"/>
    </row>
    <row r="80" ht="15.75" hidden="1" customHeight="1">
      <c r="B80" s="123"/>
      <c r="D80" s="123"/>
      <c r="F80" s="123"/>
      <c r="H80" s="123"/>
      <c r="J80" s="123"/>
      <c r="L80" s="123"/>
      <c r="N80" s="123"/>
    </row>
    <row r="81" ht="15.75" hidden="1" customHeight="1">
      <c r="B81" s="123"/>
      <c r="D81" s="123"/>
      <c r="F81" s="123"/>
      <c r="H81" s="123"/>
      <c r="J81" s="123"/>
      <c r="L81" s="123"/>
      <c r="N81" s="123"/>
    </row>
    <row r="82" ht="15.75" hidden="1" customHeight="1">
      <c r="B82" s="123"/>
      <c r="D82" s="123"/>
      <c r="F82" s="123"/>
      <c r="H82" s="123"/>
      <c r="J82" s="123"/>
      <c r="L82" s="123"/>
      <c r="N82" s="123"/>
    </row>
    <row r="83" ht="15.75" hidden="1" customHeight="1">
      <c r="B83" s="123"/>
      <c r="D83" s="123"/>
      <c r="F83" s="123"/>
      <c r="H83" s="123"/>
      <c r="J83" s="123"/>
      <c r="L83" s="123"/>
      <c r="N83" s="123"/>
    </row>
    <row r="84" ht="15.75" hidden="1" customHeight="1">
      <c r="B84" s="123"/>
      <c r="D84" s="123"/>
      <c r="F84" s="123"/>
      <c r="H84" s="123"/>
      <c r="J84" s="123"/>
      <c r="L84" s="123"/>
      <c r="N84" s="123"/>
    </row>
    <row r="85" ht="15.75" hidden="1" customHeight="1">
      <c r="B85" s="123"/>
      <c r="D85" s="123"/>
      <c r="F85" s="123"/>
      <c r="H85" s="123"/>
      <c r="J85" s="123"/>
      <c r="L85" s="123"/>
      <c r="N85" s="123"/>
    </row>
    <row r="86" ht="15.75" hidden="1" customHeight="1">
      <c r="B86" s="123"/>
      <c r="D86" s="123"/>
      <c r="F86" s="123"/>
      <c r="H86" s="123"/>
      <c r="J86" s="123"/>
      <c r="L86" s="123"/>
      <c r="N86" s="123"/>
    </row>
    <row r="87" ht="15.75" hidden="1" customHeight="1">
      <c r="B87" s="123"/>
      <c r="D87" s="123"/>
      <c r="F87" s="123"/>
      <c r="H87" s="123"/>
      <c r="J87" s="123"/>
      <c r="L87" s="123"/>
      <c r="N87" s="123"/>
    </row>
    <row r="88" ht="15.75" hidden="1" customHeight="1">
      <c r="B88" s="123"/>
      <c r="D88" s="123"/>
      <c r="F88" s="123"/>
      <c r="H88" s="123"/>
      <c r="J88" s="123"/>
      <c r="L88" s="123"/>
      <c r="N88" s="123"/>
    </row>
    <row r="89" ht="15.75" hidden="1" customHeight="1">
      <c r="B89" s="123"/>
      <c r="D89" s="123"/>
      <c r="F89" s="123"/>
      <c r="H89" s="123"/>
      <c r="J89" s="123"/>
      <c r="L89" s="123"/>
      <c r="N89" s="123"/>
    </row>
    <row r="90" ht="15.75" hidden="1" customHeight="1">
      <c r="B90" s="123"/>
      <c r="D90" s="123"/>
      <c r="F90" s="123"/>
      <c r="H90" s="123"/>
      <c r="J90" s="123"/>
      <c r="L90" s="123"/>
      <c r="N90" s="123"/>
    </row>
    <row r="91" ht="15.75" hidden="1" customHeight="1">
      <c r="B91" s="123"/>
      <c r="D91" s="123"/>
      <c r="F91" s="123"/>
      <c r="H91" s="123"/>
      <c r="J91" s="123"/>
      <c r="L91" s="123"/>
      <c r="N91" s="123"/>
    </row>
    <row r="92" ht="15.75" hidden="1" customHeight="1">
      <c r="B92" s="123"/>
      <c r="D92" s="123"/>
      <c r="F92" s="123"/>
      <c r="H92" s="123"/>
      <c r="J92" s="123"/>
      <c r="L92" s="123"/>
      <c r="N92" s="123"/>
    </row>
    <row r="93" ht="15.75" hidden="1" customHeight="1">
      <c r="B93" s="123"/>
      <c r="D93" s="123"/>
      <c r="F93" s="123"/>
      <c r="H93" s="123"/>
      <c r="J93" s="123"/>
      <c r="L93" s="123"/>
      <c r="N93" s="123"/>
    </row>
    <row r="94" ht="15.75" hidden="1" customHeight="1">
      <c r="B94" s="123"/>
      <c r="D94" s="123"/>
      <c r="F94" s="123"/>
      <c r="H94" s="123"/>
      <c r="J94" s="123"/>
      <c r="L94" s="123"/>
      <c r="N94" s="123"/>
    </row>
    <row r="95" ht="15.75" hidden="1" customHeight="1">
      <c r="B95" s="123"/>
      <c r="D95" s="123"/>
      <c r="F95" s="123"/>
      <c r="H95" s="123"/>
      <c r="J95" s="123"/>
      <c r="L95" s="123"/>
      <c r="N95" s="123"/>
    </row>
    <row r="96" ht="15.75" hidden="1" customHeight="1">
      <c r="B96" s="123"/>
      <c r="D96" s="123"/>
      <c r="F96" s="123"/>
      <c r="H96" s="123"/>
      <c r="J96" s="123"/>
      <c r="L96" s="123"/>
      <c r="N96" s="123"/>
    </row>
    <row r="97" ht="15.75" hidden="1" customHeight="1">
      <c r="B97" s="123"/>
      <c r="D97" s="123"/>
      <c r="F97" s="123"/>
      <c r="H97" s="123"/>
      <c r="J97" s="123"/>
      <c r="L97" s="123"/>
      <c r="N97" s="123"/>
    </row>
    <row r="98" ht="15.75" hidden="1" customHeight="1">
      <c r="B98" s="123"/>
      <c r="D98" s="123"/>
      <c r="F98" s="123"/>
      <c r="H98" s="123"/>
      <c r="J98" s="123"/>
      <c r="L98" s="123"/>
      <c r="N98" s="123"/>
    </row>
    <row r="99" ht="15.75" hidden="1" customHeight="1">
      <c r="B99" s="123"/>
      <c r="D99" s="123"/>
      <c r="F99" s="123"/>
      <c r="H99" s="123"/>
      <c r="J99" s="123"/>
      <c r="L99" s="123"/>
      <c r="N99" s="123"/>
    </row>
    <row r="100" ht="15.75" hidden="1" customHeight="1">
      <c r="B100" s="123"/>
      <c r="D100" s="123"/>
      <c r="F100" s="123"/>
      <c r="H100" s="123"/>
      <c r="J100" s="123"/>
      <c r="L100" s="123"/>
      <c r="N100" s="123"/>
    </row>
    <row r="101" ht="15.75" hidden="1" customHeight="1">
      <c r="B101" s="123"/>
      <c r="D101" s="123"/>
      <c r="F101" s="123"/>
      <c r="H101" s="123"/>
      <c r="J101" s="123"/>
      <c r="L101" s="123"/>
      <c r="N101" s="123"/>
    </row>
    <row r="102" ht="15.75" hidden="1" customHeight="1">
      <c r="B102" s="123"/>
      <c r="D102" s="123"/>
      <c r="F102" s="123"/>
      <c r="H102" s="123"/>
      <c r="J102" s="123"/>
      <c r="L102" s="123"/>
      <c r="N102" s="123"/>
    </row>
    <row r="103" ht="15.75" hidden="1" customHeight="1">
      <c r="B103" s="123"/>
      <c r="D103" s="123"/>
      <c r="F103" s="123"/>
      <c r="H103" s="123"/>
      <c r="J103" s="123"/>
      <c r="L103" s="123"/>
      <c r="N103" s="123"/>
    </row>
    <row r="104" ht="15.75" hidden="1" customHeight="1">
      <c r="B104" s="123"/>
      <c r="D104" s="123"/>
      <c r="F104" s="123"/>
      <c r="H104" s="123"/>
      <c r="J104" s="123"/>
      <c r="L104" s="123"/>
      <c r="N104" s="123"/>
    </row>
    <row r="105" ht="15.75" hidden="1" customHeight="1">
      <c r="B105" s="123"/>
      <c r="D105" s="123"/>
      <c r="F105" s="123"/>
      <c r="H105" s="123"/>
      <c r="J105" s="123"/>
      <c r="L105" s="123"/>
      <c r="N105" s="123"/>
    </row>
    <row r="106" ht="15.75" hidden="1" customHeight="1">
      <c r="B106" s="123"/>
      <c r="D106" s="123"/>
      <c r="F106" s="123"/>
      <c r="H106" s="123"/>
      <c r="J106" s="123"/>
      <c r="L106" s="123"/>
      <c r="N106" s="123"/>
    </row>
    <row r="107" ht="15.75" hidden="1" customHeight="1">
      <c r="B107" s="123"/>
      <c r="D107" s="123"/>
      <c r="F107" s="123"/>
      <c r="H107" s="123"/>
      <c r="J107" s="123"/>
      <c r="L107" s="123"/>
      <c r="N107" s="123"/>
    </row>
    <row r="108" ht="15.75" hidden="1" customHeight="1">
      <c r="B108" s="123"/>
      <c r="D108" s="123"/>
      <c r="F108" s="123"/>
      <c r="H108" s="123"/>
      <c r="J108" s="123"/>
      <c r="L108" s="123"/>
      <c r="N108" s="123"/>
    </row>
    <row r="109" ht="15.75" hidden="1" customHeight="1">
      <c r="B109" s="123"/>
      <c r="D109" s="123"/>
      <c r="F109" s="123"/>
      <c r="H109" s="123"/>
      <c r="J109" s="123"/>
      <c r="L109" s="123"/>
      <c r="N109" s="123"/>
    </row>
    <row r="110" ht="15.75" hidden="1" customHeight="1">
      <c r="B110" s="123"/>
      <c r="D110" s="123"/>
      <c r="F110" s="123"/>
      <c r="H110" s="123"/>
      <c r="J110" s="123"/>
      <c r="L110" s="123"/>
      <c r="N110" s="123"/>
    </row>
    <row r="111" ht="15.75" hidden="1" customHeight="1">
      <c r="B111" s="123"/>
      <c r="D111" s="123"/>
      <c r="F111" s="123"/>
      <c r="H111" s="123"/>
      <c r="J111" s="123"/>
      <c r="L111" s="123"/>
      <c r="N111" s="123"/>
    </row>
    <row r="112" ht="15.75" hidden="1" customHeight="1">
      <c r="B112" s="123"/>
      <c r="D112" s="123"/>
      <c r="F112" s="123"/>
      <c r="H112" s="123"/>
      <c r="J112" s="123"/>
      <c r="L112" s="123"/>
      <c r="N112" s="123"/>
    </row>
    <row r="113" ht="15.75" hidden="1" customHeight="1">
      <c r="B113" s="123"/>
      <c r="D113" s="123"/>
      <c r="F113" s="123"/>
      <c r="H113" s="123"/>
      <c r="J113" s="123"/>
      <c r="L113" s="123"/>
      <c r="N113" s="123"/>
    </row>
    <row r="114" ht="15.75" hidden="1" customHeight="1">
      <c r="B114" s="123"/>
      <c r="D114" s="123"/>
      <c r="F114" s="123"/>
      <c r="H114" s="123"/>
      <c r="J114" s="123"/>
      <c r="L114" s="123"/>
      <c r="N114" s="123"/>
    </row>
    <row r="115" ht="15.75" hidden="1" customHeight="1">
      <c r="B115" s="123"/>
      <c r="D115" s="123"/>
      <c r="F115" s="123"/>
      <c r="H115" s="123"/>
      <c r="J115" s="123"/>
      <c r="L115" s="123"/>
      <c r="N115" s="123"/>
    </row>
    <row r="116" ht="15.75" hidden="1" customHeight="1">
      <c r="B116" s="123"/>
      <c r="D116" s="123"/>
      <c r="F116" s="123"/>
      <c r="H116" s="123"/>
      <c r="J116" s="123"/>
      <c r="L116" s="123"/>
      <c r="N116" s="123"/>
    </row>
    <row r="117" ht="15.75" hidden="1" customHeight="1">
      <c r="B117" s="123"/>
      <c r="D117" s="123"/>
      <c r="F117" s="123"/>
      <c r="H117" s="123"/>
      <c r="J117" s="123"/>
      <c r="L117" s="123"/>
      <c r="N117" s="123"/>
    </row>
    <row r="118" ht="15.75" hidden="1" customHeight="1">
      <c r="B118" s="123"/>
      <c r="D118" s="123"/>
      <c r="F118" s="123"/>
      <c r="H118" s="123"/>
      <c r="J118" s="123"/>
      <c r="L118" s="123"/>
      <c r="N118" s="123"/>
    </row>
    <row r="119" ht="15.75" hidden="1" customHeight="1">
      <c r="B119" s="123"/>
      <c r="D119" s="123"/>
      <c r="F119" s="123"/>
      <c r="H119" s="123"/>
      <c r="J119" s="123"/>
      <c r="L119" s="123"/>
      <c r="N119" s="123"/>
    </row>
    <row r="120" ht="15.75" hidden="1" customHeight="1">
      <c r="B120" s="123"/>
      <c r="D120" s="123"/>
      <c r="F120" s="123"/>
      <c r="H120" s="123"/>
      <c r="J120" s="123"/>
      <c r="L120" s="123"/>
      <c r="N120" s="123"/>
    </row>
    <row r="121" ht="15.75" hidden="1" customHeight="1">
      <c r="B121" s="123"/>
      <c r="D121" s="123"/>
      <c r="F121" s="123"/>
      <c r="H121" s="123"/>
      <c r="J121" s="123"/>
      <c r="L121" s="123"/>
      <c r="N121" s="123"/>
    </row>
    <row r="122" ht="15.75" hidden="1" customHeight="1">
      <c r="B122" s="123"/>
      <c r="D122" s="123"/>
      <c r="F122" s="123"/>
      <c r="H122" s="123"/>
      <c r="J122" s="123"/>
      <c r="L122" s="123"/>
      <c r="N122" s="123"/>
    </row>
    <row r="123" ht="15.75" hidden="1" customHeight="1">
      <c r="B123" s="123"/>
      <c r="D123" s="123"/>
      <c r="F123" s="123"/>
      <c r="H123" s="123"/>
      <c r="J123" s="123"/>
      <c r="L123" s="123"/>
      <c r="N123" s="123"/>
    </row>
    <row r="124" ht="15.75" hidden="1" customHeight="1">
      <c r="B124" s="123"/>
      <c r="D124" s="123"/>
      <c r="F124" s="123"/>
      <c r="H124" s="123"/>
      <c r="J124" s="123"/>
      <c r="L124" s="123"/>
      <c r="N124" s="123"/>
    </row>
    <row r="125" ht="15.75" hidden="1" customHeight="1">
      <c r="B125" s="123"/>
      <c r="D125" s="123"/>
      <c r="F125" s="123"/>
      <c r="H125" s="123"/>
      <c r="J125" s="123"/>
      <c r="L125" s="123"/>
      <c r="N125" s="123"/>
    </row>
    <row r="126" ht="15.75" hidden="1" customHeight="1">
      <c r="B126" s="123"/>
      <c r="D126" s="123"/>
      <c r="F126" s="123"/>
      <c r="H126" s="123"/>
      <c r="J126" s="123"/>
      <c r="L126" s="123"/>
      <c r="N126" s="123"/>
    </row>
    <row r="127" ht="15.75" hidden="1" customHeight="1">
      <c r="B127" s="123"/>
      <c r="D127" s="123"/>
      <c r="F127" s="123"/>
      <c r="H127" s="123"/>
      <c r="J127" s="123"/>
      <c r="L127" s="123"/>
      <c r="N127" s="123"/>
    </row>
    <row r="128" ht="15.75" hidden="1" customHeight="1">
      <c r="B128" s="123"/>
      <c r="D128" s="123"/>
      <c r="F128" s="123"/>
      <c r="H128" s="123"/>
      <c r="J128" s="123"/>
      <c r="L128" s="123"/>
      <c r="N128" s="123"/>
    </row>
    <row r="129" ht="15.75" hidden="1" customHeight="1">
      <c r="B129" s="123"/>
      <c r="D129" s="123"/>
      <c r="F129" s="123"/>
      <c r="H129" s="123"/>
      <c r="J129" s="123"/>
      <c r="L129" s="123"/>
      <c r="N129" s="123"/>
    </row>
    <row r="130" ht="15.75" hidden="1" customHeight="1">
      <c r="B130" s="123"/>
      <c r="D130" s="123"/>
      <c r="F130" s="123"/>
      <c r="H130" s="123"/>
      <c r="J130" s="123"/>
      <c r="L130" s="123"/>
      <c r="N130" s="123"/>
    </row>
    <row r="131" ht="15.75" hidden="1" customHeight="1">
      <c r="B131" s="123"/>
      <c r="D131" s="123"/>
      <c r="F131" s="123"/>
      <c r="H131" s="123"/>
      <c r="J131" s="123"/>
      <c r="L131" s="123"/>
      <c r="N131" s="123"/>
    </row>
    <row r="132" ht="15.75" hidden="1" customHeight="1">
      <c r="B132" s="123"/>
      <c r="D132" s="123"/>
      <c r="F132" s="123"/>
      <c r="H132" s="123"/>
      <c r="J132" s="123"/>
      <c r="L132" s="123"/>
      <c r="N132" s="123"/>
    </row>
    <row r="133" ht="15.75" hidden="1" customHeight="1">
      <c r="B133" s="123"/>
      <c r="D133" s="123"/>
      <c r="F133" s="123"/>
      <c r="H133" s="123"/>
      <c r="J133" s="123"/>
      <c r="L133" s="123"/>
      <c r="N133" s="123"/>
    </row>
    <row r="134" ht="15.75" hidden="1" customHeight="1">
      <c r="B134" s="123"/>
      <c r="D134" s="123"/>
      <c r="F134" s="123"/>
      <c r="H134" s="123"/>
      <c r="J134" s="123"/>
      <c r="L134" s="123"/>
      <c r="N134" s="123"/>
    </row>
    <row r="135" ht="15.75" hidden="1" customHeight="1">
      <c r="B135" s="123"/>
      <c r="D135" s="123"/>
      <c r="F135" s="123"/>
      <c r="H135" s="123"/>
      <c r="J135" s="123"/>
      <c r="L135" s="123"/>
      <c r="N135" s="123"/>
    </row>
    <row r="136" ht="15.75" hidden="1" customHeight="1">
      <c r="B136" s="123"/>
      <c r="D136" s="123"/>
      <c r="F136" s="123"/>
      <c r="H136" s="123"/>
      <c r="J136" s="123"/>
      <c r="L136" s="123"/>
      <c r="N136" s="123"/>
    </row>
    <row r="137" ht="15.75" hidden="1" customHeight="1">
      <c r="B137" s="123"/>
      <c r="D137" s="123"/>
      <c r="F137" s="123"/>
      <c r="H137" s="123"/>
      <c r="J137" s="123"/>
      <c r="L137" s="123"/>
      <c r="N137" s="123"/>
    </row>
    <row r="138" ht="15.75" hidden="1" customHeight="1">
      <c r="B138" s="123"/>
      <c r="D138" s="123"/>
      <c r="F138" s="123"/>
      <c r="H138" s="123"/>
      <c r="J138" s="123"/>
      <c r="L138" s="123"/>
      <c r="N138" s="123"/>
    </row>
    <row r="139" ht="15.75" hidden="1" customHeight="1">
      <c r="B139" s="123"/>
      <c r="D139" s="123"/>
      <c r="F139" s="123"/>
      <c r="H139" s="123"/>
      <c r="J139" s="123"/>
      <c r="L139" s="123"/>
      <c r="N139" s="123"/>
    </row>
    <row r="140" ht="15.75" hidden="1" customHeight="1">
      <c r="B140" s="123"/>
      <c r="D140" s="123"/>
      <c r="F140" s="123"/>
      <c r="H140" s="123"/>
      <c r="J140" s="123"/>
      <c r="L140" s="123"/>
      <c r="N140" s="123"/>
    </row>
    <row r="141" ht="15.75" hidden="1" customHeight="1">
      <c r="B141" s="123"/>
      <c r="D141" s="123"/>
      <c r="F141" s="123"/>
      <c r="H141" s="123"/>
      <c r="J141" s="123"/>
      <c r="L141" s="123"/>
      <c r="N141" s="123"/>
    </row>
    <row r="142" ht="15.75" hidden="1" customHeight="1">
      <c r="B142" s="123"/>
      <c r="D142" s="123"/>
      <c r="F142" s="123"/>
      <c r="H142" s="123"/>
      <c r="J142" s="123"/>
      <c r="L142" s="123"/>
      <c r="N142" s="123"/>
    </row>
    <row r="143" ht="15.75" hidden="1" customHeight="1">
      <c r="B143" s="123"/>
      <c r="D143" s="123"/>
      <c r="F143" s="123"/>
      <c r="H143" s="123"/>
      <c r="J143" s="123"/>
      <c r="L143" s="123"/>
      <c r="N143" s="123"/>
    </row>
    <row r="144" ht="15.75" hidden="1" customHeight="1">
      <c r="B144" s="123"/>
      <c r="D144" s="123"/>
      <c r="F144" s="123"/>
      <c r="H144" s="123"/>
      <c r="J144" s="123"/>
      <c r="L144" s="123"/>
      <c r="N144" s="123"/>
    </row>
    <row r="145" ht="15.75" hidden="1" customHeight="1">
      <c r="B145" s="123"/>
      <c r="D145" s="123"/>
      <c r="F145" s="123"/>
      <c r="H145" s="123"/>
      <c r="J145" s="123"/>
      <c r="L145" s="123"/>
      <c r="N145" s="123"/>
    </row>
    <row r="146" ht="15.75" hidden="1" customHeight="1">
      <c r="B146" s="123"/>
      <c r="D146" s="123"/>
      <c r="F146" s="123"/>
      <c r="H146" s="123"/>
      <c r="J146" s="123"/>
      <c r="L146" s="123"/>
      <c r="N146" s="123"/>
    </row>
    <row r="147" ht="15.75" hidden="1" customHeight="1">
      <c r="B147" s="123"/>
      <c r="D147" s="123"/>
      <c r="F147" s="123"/>
      <c r="H147" s="123"/>
      <c r="J147" s="123"/>
      <c r="L147" s="123"/>
      <c r="N147" s="123"/>
    </row>
    <row r="148" ht="15.75" hidden="1" customHeight="1">
      <c r="B148" s="123"/>
      <c r="D148" s="123"/>
      <c r="F148" s="123"/>
      <c r="H148" s="123"/>
      <c r="J148" s="123"/>
      <c r="L148" s="123"/>
      <c r="N148" s="123"/>
    </row>
    <row r="149" ht="15.75" hidden="1" customHeight="1">
      <c r="B149" s="123"/>
      <c r="D149" s="123"/>
      <c r="F149" s="123"/>
      <c r="H149" s="123"/>
      <c r="J149" s="123"/>
      <c r="L149" s="123"/>
      <c r="N149" s="123"/>
    </row>
    <row r="150" ht="15.75" hidden="1" customHeight="1">
      <c r="B150" s="123"/>
      <c r="D150" s="123"/>
      <c r="F150" s="123"/>
      <c r="H150" s="123"/>
      <c r="J150" s="123"/>
      <c r="L150" s="123"/>
      <c r="N150" s="123"/>
    </row>
    <row r="151" ht="15.75" hidden="1" customHeight="1">
      <c r="B151" s="123"/>
      <c r="D151" s="123"/>
      <c r="F151" s="123"/>
      <c r="H151" s="123"/>
      <c r="J151" s="123"/>
      <c r="L151" s="123"/>
      <c r="N151" s="123"/>
    </row>
    <row r="152" ht="15.75" hidden="1" customHeight="1">
      <c r="B152" s="123"/>
      <c r="D152" s="123"/>
      <c r="F152" s="123"/>
      <c r="H152" s="123"/>
      <c r="J152" s="123"/>
      <c r="L152" s="123"/>
      <c r="N152" s="123"/>
    </row>
    <row r="153" ht="15.75" hidden="1" customHeight="1">
      <c r="B153" s="123"/>
      <c r="D153" s="123"/>
      <c r="F153" s="123"/>
      <c r="H153" s="123"/>
      <c r="J153" s="123"/>
      <c r="L153" s="123"/>
      <c r="N153" s="123"/>
    </row>
    <row r="154" ht="15.75" hidden="1" customHeight="1">
      <c r="B154" s="123"/>
      <c r="D154" s="123"/>
      <c r="F154" s="123"/>
      <c r="H154" s="123"/>
      <c r="J154" s="123"/>
      <c r="L154" s="123"/>
      <c r="N154" s="123"/>
    </row>
    <row r="155" ht="15.75" hidden="1" customHeight="1">
      <c r="B155" s="123"/>
      <c r="D155" s="123"/>
      <c r="F155" s="123"/>
      <c r="H155" s="123"/>
      <c r="J155" s="123"/>
      <c r="L155" s="123"/>
      <c r="N155" s="123"/>
    </row>
    <row r="156" ht="15.75" hidden="1" customHeight="1">
      <c r="B156" s="123"/>
      <c r="D156" s="123"/>
      <c r="F156" s="123"/>
      <c r="H156" s="123"/>
      <c r="J156" s="123"/>
      <c r="L156" s="123"/>
      <c r="N156" s="123"/>
    </row>
    <row r="157" ht="15.75" hidden="1" customHeight="1">
      <c r="B157" s="123"/>
      <c r="D157" s="123"/>
      <c r="F157" s="123"/>
      <c r="H157" s="123"/>
      <c r="J157" s="123"/>
      <c r="L157" s="123"/>
      <c r="N157" s="123"/>
    </row>
    <row r="158" ht="15.75" hidden="1" customHeight="1">
      <c r="B158" s="123"/>
      <c r="D158" s="123"/>
      <c r="F158" s="123"/>
      <c r="H158" s="123"/>
      <c r="J158" s="123"/>
      <c r="L158" s="123"/>
      <c r="N158" s="123"/>
    </row>
    <row r="159" ht="15.75" hidden="1" customHeight="1">
      <c r="B159" s="123"/>
      <c r="D159" s="123"/>
      <c r="F159" s="123"/>
      <c r="H159" s="123"/>
      <c r="J159" s="123"/>
      <c r="L159" s="123"/>
      <c r="N159" s="123"/>
    </row>
    <row r="160" ht="15.75" hidden="1" customHeight="1">
      <c r="B160" s="123"/>
      <c r="D160" s="123"/>
      <c r="F160" s="123"/>
      <c r="H160" s="123"/>
      <c r="J160" s="123"/>
      <c r="L160" s="123"/>
      <c r="N160" s="123"/>
    </row>
    <row r="161" ht="15.75" hidden="1" customHeight="1">
      <c r="B161" s="123"/>
      <c r="D161" s="123"/>
      <c r="F161" s="123"/>
      <c r="H161" s="123"/>
      <c r="J161" s="123"/>
      <c r="L161" s="123"/>
      <c r="N161" s="123"/>
    </row>
    <row r="162" ht="15.75" hidden="1" customHeight="1">
      <c r="B162" s="123"/>
      <c r="D162" s="123"/>
      <c r="F162" s="123"/>
      <c r="H162" s="123"/>
      <c r="J162" s="123"/>
      <c r="L162" s="123"/>
      <c r="N162" s="123"/>
    </row>
    <row r="163" ht="15.75" hidden="1" customHeight="1">
      <c r="B163" s="123"/>
      <c r="D163" s="123"/>
      <c r="F163" s="123"/>
      <c r="H163" s="123"/>
      <c r="J163" s="123"/>
      <c r="L163" s="123"/>
      <c r="N163" s="123"/>
    </row>
    <row r="164" ht="15.75" hidden="1" customHeight="1">
      <c r="B164" s="123"/>
      <c r="D164" s="123"/>
      <c r="F164" s="123"/>
      <c r="H164" s="123"/>
      <c r="J164" s="123"/>
      <c r="L164" s="123"/>
      <c r="N164" s="123"/>
    </row>
    <row r="165" ht="15.75" hidden="1" customHeight="1">
      <c r="B165" s="123"/>
      <c r="D165" s="123"/>
      <c r="F165" s="123"/>
      <c r="H165" s="123"/>
      <c r="J165" s="123"/>
      <c r="L165" s="123"/>
      <c r="N165" s="123"/>
    </row>
    <row r="166" ht="15.75" hidden="1" customHeight="1">
      <c r="B166" s="123"/>
      <c r="D166" s="123"/>
      <c r="F166" s="123"/>
      <c r="H166" s="123"/>
      <c r="J166" s="123"/>
      <c r="L166" s="123"/>
      <c r="N166" s="123"/>
    </row>
    <row r="167" ht="15.75" hidden="1" customHeight="1">
      <c r="B167" s="123"/>
      <c r="D167" s="123"/>
      <c r="F167" s="123"/>
      <c r="H167" s="123"/>
      <c r="J167" s="123"/>
      <c r="L167" s="123"/>
      <c r="N167" s="123"/>
    </row>
    <row r="168" ht="15.75" hidden="1" customHeight="1">
      <c r="B168" s="123"/>
      <c r="D168" s="123"/>
      <c r="F168" s="123"/>
      <c r="H168" s="123"/>
      <c r="J168" s="123"/>
      <c r="L168" s="123"/>
      <c r="N168" s="123"/>
    </row>
    <row r="169" ht="15.75" hidden="1" customHeight="1">
      <c r="B169" s="123"/>
      <c r="D169" s="123"/>
      <c r="F169" s="123"/>
      <c r="H169" s="123"/>
      <c r="J169" s="123"/>
      <c r="L169" s="123"/>
      <c r="N169" s="123"/>
    </row>
    <row r="170" ht="15.75" hidden="1" customHeight="1">
      <c r="B170" s="123"/>
      <c r="D170" s="123"/>
      <c r="F170" s="123"/>
      <c r="H170" s="123"/>
      <c r="J170" s="123"/>
      <c r="L170" s="123"/>
      <c r="N170" s="123"/>
    </row>
    <row r="171" ht="15.75" hidden="1" customHeight="1">
      <c r="B171" s="123"/>
      <c r="D171" s="123"/>
      <c r="F171" s="123"/>
      <c r="H171" s="123"/>
      <c r="J171" s="123"/>
      <c r="L171" s="123"/>
      <c r="N171" s="123"/>
    </row>
    <row r="172" ht="15.75" hidden="1" customHeight="1">
      <c r="B172" s="123"/>
      <c r="D172" s="123"/>
      <c r="F172" s="123"/>
      <c r="H172" s="123"/>
      <c r="J172" s="123"/>
      <c r="L172" s="123"/>
      <c r="N172" s="123"/>
    </row>
    <row r="173" ht="15.75" hidden="1" customHeight="1">
      <c r="B173" s="123"/>
      <c r="D173" s="123"/>
      <c r="F173" s="123"/>
      <c r="H173" s="123"/>
      <c r="J173" s="123"/>
      <c r="L173" s="123"/>
      <c r="N173" s="123"/>
    </row>
    <row r="174" ht="15.75" hidden="1" customHeight="1">
      <c r="B174" s="123"/>
      <c r="D174" s="123"/>
      <c r="F174" s="123"/>
      <c r="H174" s="123"/>
      <c r="J174" s="123"/>
      <c r="L174" s="123"/>
      <c r="N174" s="123"/>
    </row>
    <row r="175" ht="15.75" hidden="1" customHeight="1">
      <c r="B175" s="123"/>
      <c r="D175" s="123"/>
      <c r="F175" s="123"/>
      <c r="H175" s="123"/>
      <c r="J175" s="123"/>
      <c r="L175" s="123"/>
      <c r="N175" s="123"/>
    </row>
    <row r="176" ht="15.75" hidden="1" customHeight="1">
      <c r="B176" s="123"/>
      <c r="D176" s="123"/>
      <c r="F176" s="123"/>
      <c r="H176" s="123"/>
      <c r="J176" s="123"/>
      <c r="L176" s="123"/>
      <c r="N176" s="123"/>
    </row>
    <row r="177" ht="15.75" hidden="1" customHeight="1">
      <c r="B177" s="123"/>
      <c r="D177" s="123"/>
      <c r="F177" s="123"/>
      <c r="H177" s="123"/>
      <c r="J177" s="123"/>
      <c r="L177" s="123"/>
      <c r="N177" s="123"/>
    </row>
    <row r="178" ht="15.75" hidden="1" customHeight="1">
      <c r="B178" s="123"/>
      <c r="D178" s="123"/>
      <c r="F178" s="123"/>
      <c r="H178" s="123"/>
      <c r="J178" s="123"/>
      <c r="L178" s="123"/>
      <c r="N178" s="123"/>
    </row>
    <row r="179" ht="15.75" hidden="1" customHeight="1">
      <c r="B179" s="123"/>
      <c r="D179" s="123"/>
      <c r="F179" s="123"/>
      <c r="H179" s="123"/>
      <c r="J179" s="123"/>
      <c r="L179" s="123"/>
      <c r="N179" s="123"/>
    </row>
    <row r="180" ht="15.75" hidden="1" customHeight="1">
      <c r="B180" s="123"/>
      <c r="D180" s="123"/>
      <c r="F180" s="123"/>
      <c r="H180" s="123"/>
      <c r="J180" s="123"/>
      <c r="L180" s="123"/>
      <c r="N180" s="123"/>
    </row>
    <row r="181" ht="15.75" hidden="1" customHeight="1">
      <c r="B181" s="123"/>
      <c r="D181" s="123"/>
      <c r="F181" s="123"/>
      <c r="H181" s="123"/>
      <c r="J181" s="123"/>
      <c r="L181" s="123"/>
      <c r="N181" s="123"/>
    </row>
    <row r="182" ht="15.75" hidden="1" customHeight="1">
      <c r="B182" s="123"/>
      <c r="D182" s="123"/>
      <c r="F182" s="123"/>
      <c r="H182" s="123"/>
      <c r="J182" s="123"/>
      <c r="L182" s="123"/>
      <c r="N182" s="123"/>
    </row>
    <row r="183" ht="15.75" hidden="1" customHeight="1">
      <c r="B183" s="123"/>
      <c r="D183" s="123"/>
      <c r="F183" s="123"/>
      <c r="H183" s="123"/>
      <c r="J183" s="123"/>
      <c r="L183" s="123"/>
      <c r="N183" s="123"/>
    </row>
    <row r="184" ht="15.75" hidden="1" customHeight="1">
      <c r="B184" s="123"/>
      <c r="D184" s="123"/>
      <c r="F184" s="123"/>
      <c r="H184" s="123"/>
      <c r="J184" s="123"/>
      <c r="L184" s="123"/>
      <c r="N184" s="123"/>
    </row>
    <row r="185" ht="15.75" hidden="1" customHeight="1">
      <c r="B185" s="123"/>
      <c r="D185" s="123"/>
      <c r="F185" s="123"/>
      <c r="H185" s="123"/>
      <c r="J185" s="123"/>
      <c r="L185" s="123"/>
      <c r="N185" s="123"/>
    </row>
    <row r="186" ht="15.75" hidden="1" customHeight="1">
      <c r="B186" s="123"/>
      <c r="D186" s="123"/>
      <c r="F186" s="123"/>
      <c r="H186" s="123"/>
      <c r="J186" s="123"/>
      <c r="L186" s="123"/>
      <c r="N186" s="123"/>
    </row>
    <row r="187" ht="15.75" hidden="1" customHeight="1">
      <c r="B187" s="123"/>
      <c r="D187" s="123"/>
      <c r="F187" s="123"/>
      <c r="H187" s="123"/>
      <c r="J187" s="123"/>
      <c r="L187" s="123"/>
      <c r="N187" s="123"/>
    </row>
    <row r="188" ht="15.75" hidden="1" customHeight="1">
      <c r="B188" s="123"/>
      <c r="D188" s="123"/>
      <c r="F188" s="123"/>
      <c r="H188" s="123"/>
      <c r="J188" s="123"/>
      <c r="L188" s="123"/>
      <c r="N188" s="123"/>
    </row>
    <row r="189" ht="15.75" hidden="1" customHeight="1">
      <c r="B189" s="123"/>
      <c r="D189" s="123"/>
      <c r="F189" s="123"/>
      <c r="H189" s="123"/>
      <c r="J189" s="123"/>
      <c r="L189" s="123"/>
      <c r="N189" s="123"/>
    </row>
    <row r="190" ht="15.75" hidden="1" customHeight="1">
      <c r="B190" s="123"/>
      <c r="D190" s="123"/>
      <c r="F190" s="123"/>
      <c r="H190" s="123"/>
      <c r="J190" s="123"/>
      <c r="L190" s="123"/>
      <c r="N190" s="123"/>
    </row>
    <row r="191" ht="15.75" hidden="1" customHeight="1">
      <c r="B191" s="123"/>
      <c r="D191" s="123"/>
      <c r="F191" s="123"/>
      <c r="H191" s="123"/>
      <c r="J191" s="123"/>
      <c r="L191" s="123"/>
      <c r="N191" s="123"/>
    </row>
    <row r="192" ht="15.75" hidden="1" customHeight="1">
      <c r="B192" s="123"/>
      <c r="D192" s="123"/>
      <c r="F192" s="123"/>
      <c r="H192" s="123"/>
      <c r="J192" s="123"/>
      <c r="L192" s="123"/>
      <c r="N192" s="123"/>
    </row>
    <row r="193" ht="15.75" hidden="1" customHeight="1">
      <c r="B193" s="123"/>
      <c r="D193" s="123"/>
      <c r="F193" s="123"/>
      <c r="H193" s="123"/>
      <c r="J193" s="123"/>
      <c r="L193" s="123"/>
      <c r="N193" s="123"/>
    </row>
    <row r="194" ht="15.75" hidden="1" customHeight="1">
      <c r="B194" s="123"/>
      <c r="D194" s="123"/>
      <c r="F194" s="123"/>
      <c r="H194" s="123"/>
      <c r="J194" s="123"/>
      <c r="L194" s="123"/>
      <c r="N194" s="123"/>
    </row>
    <row r="195" ht="15.75" hidden="1" customHeight="1">
      <c r="B195" s="123"/>
      <c r="D195" s="123"/>
      <c r="F195" s="123"/>
      <c r="H195" s="123"/>
      <c r="J195" s="123"/>
      <c r="L195" s="123"/>
      <c r="N195" s="123"/>
    </row>
    <row r="196" ht="15.75" hidden="1" customHeight="1">
      <c r="B196" s="123"/>
      <c r="D196" s="123"/>
      <c r="F196" s="123"/>
      <c r="H196" s="123"/>
      <c r="J196" s="123"/>
      <c r="L196" s="123"/>
      <c r="N196" s="123"/>
    </row>
    <row r="197" ht="15.75" hidden="1" customHeight="1">
      <c r="B197" s="123"/>
      <c r="D197" s="123"/>
      <c r="F197" s="123"/>
      <c r="H197" s="123"/>
      <c r="J197" s="123"/>
      <c r="L197" s="123"/>
      <c r="N197" s="123"/>
    </row>
    <row r="198" ht="15.75" hidden="1" customHeight="1">
      <c r="B198" s="123"/>
      <c r="D198" s="123"/>
      <c r="F198" s="123"/>
      <c r="H198" s="123"/>
      <c r="J198" s="123"/>
      <c r="L198" s="123"/>
      <c r="N198" s="123"/>
    </row>
    <row r="199" ht="15.75" hidden="1" customHeight="1">
      <c r="B199" s="123"/>
      <c r="D199" s="123"/>
      <c r="F199" s="123"/>
      <c r="H199" s="123"/>
      <c r="J199" s="123"/>
      <c r="L199" s="123"/>
      <c r="N199" s="123"/>
    </row>
    <row r="200" ht="15.75" hidden="1" customHeight="1">
      <c r="B200" s="123"/>
      <c r="D200" s="123"/>
      <c r="F200" s="123"/>
      <c r="H200" s="123"/>
      <c r="J200" s="123"/>
      <c r="L200" s="123"/>
      <c r="N200" s="123"/>
    </row>
    <row r="201" ht="15.75" hidden="1" customHeight="1">
      <c r="B201" s="123"/>
      <c r="D201" s="123"/>
      <c r="F201" s="123"/>
      <c r="H201" s="123"/>
      <c r="J201" s="123"/>
      <c r="L201" s="123"/>
      <c r="N201" s="123"/>
    </row>
    <row r="202" ht="15.75" hidden="1" customHeight="1">
      <c r="B202" s="123"/>
      <c r="D202" s="123"/>
      <c r="F202" s="123"/>
      <c r="H202" s="123"/>
      <c r="J202" s="123"/>
      <c r="L202" s="123"/>
      <c r="N202" s="123"/>
    </row>
    <row r="203" ht="15.75" hidden="1" customHeight="1">
      <c r="B203" s="123"/>
      <c r="D203" s="123"/>
      <c r="F203" s="123"/>
      <c r="H203" s="123"/>
      <c r="J203" s="123"/>
      <c r="L203" s="123"/>
      <c r="N203" s="123"/>
    </row>
    <row r="204" ht="15.75" hidden="1" customHeight="1">
      <c r="B204" s="123"/>
      <c r="D204" s="123"/>
      <c r="F204" s="123"/>
      <c r="H204" s="123"/>
      <c r="J204" s="123"/>
      <c r="L204" s="123"/>
      <c r="N204" s="123"/>
    </row>
    <row r="205" ht="15.75" hidden="1" customHeight="1">
      <c r="B205" s="123"/>
      <c r="D205" s="123"/>
      <c r="F205" s="123"/>
      <c r="H205" s="123"/>
      <c r="J205" s="123"/>
      <c r="L205" s="123"/>
      <c r="N205" s="123"/>
    </row>
    <row r="206" ht="15.75" hidden="1" customHeight="1">
      <c r="B206" s="123"/>
      <c r="D206" s="123"/>
      <c r="F206" s="123"/>
      <c r="H206" s="123"/>
      <c r="J206" s="123"/>
      <c r="L206" s="123"/>
      <c r="N206" s="123"/>
    </row>
    <row r="207" ht="15.75" hidden="1" customHeight="1">
      <c r="B207" s="123"/>
      <c r="D207" s="123"/>
      <c r="F207" s="123"/>
      <c r="H207" s="123"/>
      <c r="J207" s="123"/>
      <c r="L207" s="123"/>
      <c r="N207" s="123"/>
    </row>
    <row r="208" ht="15.75" hidden="1" customHeight="1">
      <c r="B208" s="123"/>
      <c r="D208" s="123"/>
      <c r="F208" s="123"/>
      <c r="H208" s="123"/>
      <c r="J208" s="123"/>
      <c r="L208" s="123"/>
      <c r="N208" s="123"/>
    </row>
    <row r="209" ht="15.75" hidden="1" customHeight="1">
      <c r="B209" s="123"/>
      <c r="D209" s="123"/>
      <c r="F209" s="123"/>
      <c r="H209" s="123"/>
      <c r="J209" s="123"/>
      <c r="L209" s="123"/>
      <c r="N209" s="123"/>
    </row>
    <row r="210" ht="15.75" hidden="1" customHeight="1">
      <c r="B210" s="123"/>
      <c r="D210" s="123"/>
      <c r="F210" s="123"/>
      <c r="H210" s="123"/>
      <c r="J210" s="123"/>
      <c r="L210" s="123"/>
      <c r="N210" s="123"/>
    </row>
    <row r="211" ht="15.75" hidden="1" customHeight="1">
      <c r="B211" s="123"/>
      <c r="D211" s="123"/>
      <c r="F211" s="123"/>
      <c r="H211" s="123"/>
      <c r="J211" s="123"/>
      <c r="L211" s="123"/>
      <c r="N211" s="123"/>
    </row>
    <row r="212" ht="15.75" hidden="1" customHeight="1">
      <c r="B212" s="123"/>
      <c r="D212" s="123"/>
      <c r="F212" s="123"/>
      <c r="H212" s="123"/>
      <c r="J212" s="123"/>
      <c r="L212" s="123"/>
      <c r="N212" s="123"/>
    </row>
    <row r="213" ht="15.75" hidden="1" customHeight="1">
      <c r="B213" s="123"/>
      <c r="D213" s="123"/>
      <c r="F213" s="123"/>
      <c r="H213" s="123"/>
      <c r="J213" s="123"/>
      <c r="L213" s="123"/>
      <c r="N213" s="123"/>
    </row>
    <row r="214" ht="15.75" hidden="1" customHeight="1">
      <c r="B214" s="123"/>
      <c r="D214" s="123"/>
      <c r="F214" s="123"/>
      <c r="H214" s="123"/>
      <c r="J214" s="123"/>
      <c r="L214" s="123"/>
      <c r="N214" s="123"/>
    </row>
    <row r="215" ht="15.75" hidden="1" customHeight="1">
      <c r="B215" s="123"/>
      <c r="D215" s="123"/>
      <c r="F215" s="123"/>
      <c r="H215" s="123"/>
      <c r="J215" s="123"/>
      <c r="L215" s="123"/>
      <c r="N215" s="123"/>
    </row>
    <row r="216" ht="15.75" hidden="1" customHeight="1">
      <c r="B216" s="123"/>
      <c r="D216" s="123"/>
      <c r="F216" s="123"/>
      <c r="H216" s="123"/>
      <c r="J216" s="123"/>
      <c r="L216" s="123"/>
      <c r="N216" s="123"/>
    </row>
    <row r="217" ht="15.75" hidden="1" customHeight="1">
      <c r="B217" s="123"/>
      <c r="D217" s="123"/>
      <c r="F217" s="123"/>
      <c r="H217" s="123"/>
      <c r="J217" s="123"/>
      <c r="L217" s="123"/>
      <c r="N217" s="123"/>
    </row>
    <row r="218" ht="15.75" hidden="1" customHeight="1">
      <c r="B218" s="123"/>
      <c r="D218" s="123"/>
      <c r="F218" s="123"/>
      <c r="H218" s="123"/>
      <c r="J218" s="123"/>
      <c r="L218" s="123"/>
      <c r="N218" s="123"/>
    </row>
    <row r="219" ht="15.75" hidden="1" customHeight="1">
      <c r="B219" s="123"/>
      <c r="D219" s="123"/>
      <c r="F219" s="123"/>
      <c r="H219" s="123"/>
      <c r="J219" s="123"/>
      <c r="L219" s="123"/>
      <c r="N219" s="123"/>
    </row>
    <row r="220" ht="15.75" hidden="1" customHeight="1">
      <c r="B220" s="123"/>
      <c r="D220" s="123"/>
      <c r="F220" s="123"/>
      <c r="H220" s="123"/>
      <c r="J220" s="123"/>
      <c r="L220" s="123"/>
      <c r="N220" s="123"/>
    </row>
    <row r="221" ht="15.75" hidden="1" customHeight="1">
      <c r="B221" s="123"/>
      <c r="D221" s="123"/>
      <c r="F221" s="123"/>
      <c r="H221" s="123"/>
      <c r="J221" s="123"/>
      <c r="L221" s="123"/>
      <c r="N221" s="123"/>
    </row>
    <row r="222" ht="15.75" hidden="1" customHeight="1">
      <c r="B222" s="123"/>
      <c r="D222" s="123"/>
      <c r="F222" s="123"/>
      <c r="H222" s="123"/>
      <c r="J222" s="123"/>
      <c r="L222" s="123"/>
      <c r="N222" s="123"/>
    </row>
    <row r="223" ht="15.75" hidden="1" customHeight="1">
      <c r="B223" s="123"/>
      <c r="D223" s="123"/>
      <c r="F223" s="123"/>
      <c r="H223" s="123"/>
      <c r="J223" s="123"/>
      <c r="L223" s="123"/>
      <c r="N223" s="123"/>
    </row>
    <row r="224" ht="15.75" hidden="1" customHeight="1">
      <c r="B224" s="123"/>
      <c r="D224" s="123"/>
      <c r="F224" s="123"/>
      <c r="H224" s="123"/>
      <c r="J224" s="123"/>
      <c r="L224" s="123"/>
      <c r="N224" s="123"/>
    </row>
    <row r="225" ht="15.75" hidden="1" customHeight="1">
      <c r="B225" s="123"/>
      <c r="D225" s="123"/>
      <c r="F225" s="123"/>
      <c r="H225" s="123"/>
      <c r="J225" s="123"/>
      <c r="L225" s="123"/>
      <c r="N225" s="123"/>
    </row>
    <row r="226" ht="15.75" hidden="1" customHeight="1">
      <c r="B226" s="123"/>
      <c r="D226" s="123"/>
      <c r="F226" s="123"/>
      <c r="H226" s="123"/>
      <c r="J226" s="123"/>
      <c r="L226" s="123"/>
      <c r="N226" s="123"/>
    </row>
    <row r="227" ht="15.75" hidden="1" customHeight="1">
      <c r="B227" s="123"/>
      <c r="D227" s="123"/>
      <c r="F227" s="123"/>
      <c r="H227" s="123"/>
      <c r="J227" s="123"/>
      <c r="L227" s="123"/>
      <c r="N227" s="123"/>
    </row>
    <row r="228" ht="15.75" hidden="1" customHeight="1">
      <c r="B228" s="123"/>
      <c r="D228" s="123"/>
      <c r="F228" s="123"/>
      <c r="H228" s="123"/>
      <c r="J228" s="123"/>
      <c r="L228" s="123"/>
      <c r="N228" s="123"/>
    </row>
    <row r="229" ht="15.75" hidden="1" customHeight="1">
      <c r="B229" s="123"/>
      <c r="D229" s="123"/>
      <c r="F229" s="123"/>
      <c r="H229" s="123"/>
      <c r="J229" s="123"/>
      <c r="L229" s="123"/>
      <c r="N229" s="123"/>
    </row>
    <row r="230" ht="15.75" hidden="1" customHeight="1">
      <c r="B230" s="123"/>
      <c r="D230" s="123"/>
      <c r="F230" s="123"/>
      <c r="H230" s="123"/>
      <c r="J230" s="123"/>
      <c r="L230" s="123"/>
      <c r="N230" s="123"/>
    </row>
    <row r="231" ht="15.75" hidden="1" customHeight="1">
      <c r="B231" s="123"/>
      <c r="D231" s="123"/>
      <c r="F231" s="123"/>
      <c r="H231" s="123"/>
      <c r="J231" s="123"/>
      <c r="L231" s="123"/>
      <c r="N231" s="123"/>
    </row>
    <row r="232" ht="15.75" hidden="1" customHeight="1">
      <c r="B232" s="123"/>
      <c r="D232" s="123"/>
      <c r="F232" s="123"/>
      <c r="H232" s="123"/>
      <c r="J232" s="123"/>
      <c r="L232" s="123"/>
      <c r="N232" s="123"/>
    </row>
    <row r="233" ht="15.75" hidden="1" customHeight="1">
      <c r="B233" s="123"/>
      <c r="D233" s="123"/>
      <c r="F233" s="123"/>
      <c r="H233" s="123"/>
      <c r="J233" s="123"/>
      <c r="L233" s="123"/>
      <c r="N233" s="123"/>
    </row>
    <row r="234" ht="15.75" hidden="1" customHeight="1">
      <c r="B234" s="123"/>
      <c r="D234" s="123"/>
      <c r="F234" s="123"/>
      <c r="H234" s="123"/>
      <c r="J234" s="123"/>
      <c r="L234" s="123"/>
      <c r="N234" s="123"/>
    </row>
    <row r="235" ht="15.75" hidden="1" customHeight="1">
      <c r="B235" s="123"/>
      <c r="D235" s="123"/>
      <c r="F235" s="123"/>
      <c r="H235" s="123"/>
      <c r="J235" s="123"/>
      <c r="L235" s="123"/>
      <c r="N235" s="123"/>
    </row>
    <row r="236" ht="15.75" hidden="1" customHeight="1">
      <c r="B236" s="123"/>
      <c r="D236" s="123"/>
      <c r="F236" s="123"/>
      <c r="H236" s="123"/>
      <c r="J236" s="123"/>
      <c r="L236" s="123"/>
      <c r="N236" s="123"/>
    </row>
    <row r="237" ht="15.75" hidden="1" customHeight="1">
      <c r="B237" s="123"/>
      <c r="D237" s="123"/>
      <c r="F237" s="123"/>
      <c r="H237" s="123"/>
      <c r="J237" s="123"/>
      <c r="L237" s="123"/>
      <c r="N237" s="123"/>
    </row>
    <row r="238" ht="15.75" hidden="1" customHeight="1">
      <c r="B238" s="123"/>
      <c r="D238" s="123"/>
      <c r="F238" s="123"/>
      <c r="H238" s="123"/>
      <c r="J238" s="123"/>
      <c r="L238" s="123"/>
      <c r="N238" s="123"/>
    </row>
    <row r="239" ht="15.75" hidden="1" customHeight="1">
      <c r="B239" s="123"/>
      <c r="D239" s="123"/>
      <c r="F239" s="123"/>
      <c r="H239" s="123"/>
      <c r="J239" s="123"/>
      <c r="L239" s="123"/>
      <c r="N239" s="123"/>
    </row>
    <row r="240" ht="15.75" hidden="1" customHeight="1">
      <c r="B240" s="123"/>
      <c r="D240" s="123"/>
      <c r="F240" s="123"/>
      <c r="H240" s="123"/>
      <c r="J240" s="123"/>
      <c r="L240" s="123"/>
      <c r="N240" s="123"/>
    </row>
    <row r="241" ht="15.75" hidden="1" customHeight="1">
      <c r="B241" s="123"/>
      <c r="D241" s="123"/>
      <c r="F241" s="123"/>
      <c r="H241" s="123"/>
      <c r="J241" s="123"/>
      <c r="L241" s="123"/>
      <c r="N241" s="123"/>
    </row>
    <row r="242" ht="15.75" hidden="1" customHeight="1">
      <c r="B242" s="123"/>
      <c r="D242" s="123"/>
      <c r="F242" s="123"/>
      <c r="H242" s="123"/>
      <c r="J242" s="123"/>
      <c r="L242" s="123"/>
      <c r="N242" s="123"/>
    </row>
    <row r="243" ht="15.75" hidden="1" customHeight="1">
      <c r="B243" s="123"/>
      <c r="D243" s="123"/>
      <c r="F243" s="123"/>
      <c r="H243" s="123"/>
      <c r="J243" s="123"/>
      <c r="L243" s="123"/>
      <c r="N243" s="123"/>
    </row>
    <row r="244" ht="15.75" hidden="1" customHeight="1">
      <c r="B244" s="123"/>
      <c r="D244" s="123"/>
      <c r="F244" s="123"/>
      <c r="H244" s="123"/>
      <c r="J244" s="123"/>
      <c r="L244" s="123"/>
      <c r="N244" s="123"/>
    </row>
    <row r="245" ht="15.75" hidden="1" customHeight="1">
      <c r="B245" s="123"/>
      <c r="D245" s="123"/>
      <c r="F245" s="123"/>
      <c r="H245" s="123"/>
      <c r="J245" s="123"/>
      <c r="L245" s="123"/>
      <c r="N245" s="123"/>
    </row>
    <row r="246" ht="15.75" hidden="1" customHeight="1">
      <c r="B246" s="123"/>
      <c r="D246" s="123"/>
      <c r="F246" s="123"/>
      <c r="H246" s="123"/>
      <c r="J246" s="123"/>
      <c r="L246" s="123"/>
      <c r="N246" s="123"/>
    </row>
    <row r="247" ht="15.75" hidden="1" customHeight="1">
      <c r="B247" s="123"/>
      <c r="D247" s="123"/>
      <c r="F247" s="123"/>
      <c r="H247" s="123"/>
      <c r="J247" s="123"/>
      <c r="L247" s="123"/>
      <c r="N247" s="123"/>
    </row>
    <row r="248" ht="15.75" hidden="1" customHeight="1">
      <c r="B248" s="123"/>
      <c r="D248" s="123"/>
      <c r="F248" s="123"/>
      <c r="H248" s="123"/>
      <c r="J248" s="123"/>
      <c r="L248" s="123"/>
      <c r="N248" s="123"/>
    </row>
    <row r="249" ht="15.75" hidden="1" customHeight="1">
      <c r="B249" s="123"/>
      <c r="D249" s="123"/>
      <c r="F249" s="123"/>
      <c r="H249" s="123"/>
      <c r="J249" s="123"/>
      <c r="L249" s="123"/>
      <c r="N249" s="123"/>
    </row>
    <row r="250" ht="15.75" hidden="1" customHeight="1">
      <c r="B250" s="123"/>
      <c r="D250" s="123"/>
      <c r="F250" s="123"/>
      <c r="H250" s="123"/>
      <c r="J250" s="123"/>
      <c r="L250" s="123"/>
      <c r="N250" s="123"/>
    </row>
    <row r="251" ht="15.75" hidden="1" customHeight="1">
      <c r="B251" s="123"/>
      <c r="D251" s="123"/>
      <c r="F251" s="123"/>
      <c r="H251" s="123"/>
      <c r="J251" s="123"/>
      <c r="L251" s="123"/>
      <c r="N251" s="123"/>
    </row>
    <row r="252" ht="15.75" hidden="1" customHeight="1">
      <c r="B252" s="123"/>
      <c r="D252" s="123"/>
      <c r="F252" s="123"/>
      <c r="H252" s="123"/>
      <c r="J252" s="123"/>
      <c r="L252" s="123"/>
      <c r="N252" s="123"/>
    </row>
    <row r="253" ht="15.75" hidden="1" customHeight="1">
      <c r="B253" s="123"/>
      <c r="D253" s="123"/>
      <c r="F253" s="123"/>
      <c r="H253" s="123"/>
      <c r="J253" s="123"/>
      <c r="L253" s="123"/>
      <c r="N253" s="123"/>
    </row>
    <row r="254" ht="15.75" hidden="1" customHeight="1">
      <c r="B254" s="123"/>
      <c r="D254" s="123"/>
      <c r="F254" s="123"/>
      <c r="H254" s="123"/>
      <c r="J254" s="123"/>
      <c r="L254" s="123"/>
      <c r="N254" s="123"/>
    </row>
    <row r="255" ht="15.75" hidden="1" customHeight="1">
      <c r="B255" s="123"/>
      <c r="D255" s="123"/>
      <c r="F255" s="123"/>
      <c r="H255" s="123"/>
      <c r="J255" s="123"/>
      <c r="L255" s="123"/>
      <c r="N255" s="123"/>
    </row>
    <row r="256" ht="15.75" hidden="1" customHeight="1">
      <c r="B256" s="123"/>
      <c r="D256" s="123"/>
      <c r="F256" s="123"/>
      <c r="H256" s="123"/>
      <c r="J256" s="123"/>
      <c r="L256" s="123"/>
      <c r="N256" s="123"/>
    </row>
    <row r="257" ht="15.75" hidden="1" customHeight="1">
      <c r="B257" s="123"/>
      <c r="D257" s="123"/>
      <c r="F257" s="123"/>
      <c r="H257" s="123"/>
      <c r="J257" s="123"/>
      <c r="L257" s="123"/>
      <c r="N257" s="123"/>
    </row>
    <row r="258" ht="15.75" hidden="1" customHeight="1">
      <c r="B258" s="123"/>
      <c r="D258" s="123"/>
      <c r="F258" s="123"/>
      <c r="H258" s="123"/>
      <c r="J258" s="123"/>
      <c r="L258" s="123"/>
      <c r="N258" s="123"/>
    </row>
    <row r="259" ht="15.75" hidden="1" customHeight="1">
      <c r="B259" s="123"/>
      <c r="D259" s="123"/>
      <c r="F259" s="123"/>
      <c r="H259" s="123"/>
      <c r="J259" s="123"/>
      <c r="L259" s="123"/>
      <c r="N259" s="123"/>
    </row>
    <row r="260" ht="15.75" hidden="1" customHeight="1">
      <c r="B260" s="123"/>
      <c r="D260" s="123"/>
      <c r="F260" s="123"/>
      <c r="H260" s="123"/>
      <c r="J260" s="123"/>
      <c r="L260" s="123"/>
      <c r="N260" s="123"/>
    </row>
    <row r="261" ht="15.75" hidden="1" customHeight="1">
      <c r="B261" s="123"/>
      <c r="D261" s="123"/>
      <c r="F261" s="123"/>
      <c r="H261" s="123"/>
      <c r="J261" s="123"/>
      <c r="L261" s="123"/>
      <c r="N261" s="123"/>
    </row>
    <row r="262" ht="15.75" hidden="1" customHeight="1">
      <c r="B262" s="123"/>
      <c r="D262" s="123"/>
      <c r="F262" s="123"/>
      <c r="H262" s="123"/>
      <c r="J262" s="123"/>
      <c r="L262" s="123"/>
      <c r="N262" s="123"/>
    </row>
    <row r="263" ht="15.75" hidden="1" customHeight="1">
      <c r="B263" s="123"/>
      <c r="D263" s="123"/>
      <c r="F263" s="123"/>
      <c r="H263" s="123"/>
      <c r="J263" s="123"/>
      <c r="L263" s="123"/>
      <c r="N263" s="123"/>
    </row>
    <row r="264" ht="15.75" hidden="1" customHeight="1">
      <c r="B264" s="123"/>
      <c r="D264" s="123"/>
      <c r="F264" s="123"/>
      <c r="H264" s="123"/>
      <c r="J264" s="123"/>
      <c r="L264" s="123"/>
      <c r="N264" s="123"/>
    </row>
    <row r="265" ht="15.75" hidden="1" customHeight="1">
      <c r="B265" s="123"/>
      <c r="D265" s="123"/>
      <c r="F265" s="123"/>
      <c r="H265" s="123"/>
      <c r="J265" s="123"/>
      <c r="L265" s="123"/>
      <c r="N265" s="123"/>
    </row>
    <row r="266" ht="15.75" hidden="1" customHeight="1">
      <c r="B266" s="123"/>
      <c r="D266" s="123"/>
      <c r="F266" s="123"/>
      <c r="H266" s="123"/>
      <c r="J266" s="123"/>
      <c r="L266" s="123"/>
      <c r="N266" s="123"/>
    </row>
    <row r="267" ht="15.75" hidden="1" customHeight="1">
      <c r="B267" s="123"/>
      <c r="D267" s="123"/>
      <c r="F267" s="123"/>
      <c r="H267" s="123"/>
      <c r="J267" s="123"/>
      <c r="L267" s="123"/>
      <c r="N267" s="123"/>
    </row>
    <row r="268" ht="15.75" hidden="1" customHeight="1">
      <c r="B268" s="123"/>
      <c r="D268" s="123"/>
      <c r="F268" s="123"/>
      <c r="H268" s="123"/>
      <c r="J268" s="123"/>
      <c r="L268" s="123"/>
      <c r="N268" s="123"/>
    </row>
    <row r="269" ht="15.75" hidden="1" customHeight="1">
      <c r="B269" s="123"/>
      <c r="D269" s="123"/>
      <c r="F269" s="123"/>
      <c r="H269" s="123"/>
      <c r="J269" s="123"/>
      <c r="L269" s="123"/>
      <c r="N269" s="123"/>
    </row>
    <row r="270" ht="15.75" hidden="1" customHeight="1">
      <c r="B270" s="123"/>
      <c r="D270" s="123"/>
      <c r="F270" s="123"/>
      <c r="H270" s="123"/>
      <c r="J270" s="123"/>
      <c r="L270" s="123"/>
      <c r="N270" s="123"/>
    </row>
    <row r="271" ht="15.75" hidden="1" customHeight="1">
      <c r="B271" s="123"/>
      <c r="D271" s="123"/>
      <c r="F271" s="123"/>
      <c r="H271" s="123"/>
      <c r="J271" s="123"/>
      <c r="L271" s="123"/>
      <c r="N271" s="123"/>
    </row>
    <row r="272" ht="15.75" hidden="1" customHeight="1">
      <c r="B272" s="123"/>
      <c r="D272" s="123"/>
      <c r="F272" s="123"/>
      <c r="H272" s="123"/>
      <c r="J272" s="123"/>
      <c r="L272" s="123"/>
      <c r="N272" s="123"/>
    </row>
    <row r="273" ht="15.75" hidden="1" customHeight="1">
      <c r="B273" s="123"/>
      <c r="D273" s="123"/>
      <c r="F273" s="123"/>
      <c r="H273" s="123"/>
      <c r="J273" s="123"/>
      <c r="L273" s="123"/>
      <c r="N273" s="123"/>
    </row>
    <row r="274" ht="15.75" hidden="1" customHeight="1">
      <c r="B274" s="123"/>
      <c r="D274" s="123"/>
      <c r="F274" s="123"/>
      <c r="H274" s="123"/>
      <c r="J274" s="123"/>
      <c r="L274" s="123"/>
      <c r="N274" s="123"/>
    </row>
    <row r="275" ht="15.75" hidden="1" customHeight="1">
      <c r="B275" s="123"/>
      <c r="D275" s="123"/>
      <c r="F275" s="123"/>
      <c r="H275" s="123"/>
      <c r="J275" s="123"/>
      <c r="L275" s="123"/>
      <c r="N275" s="123"/>
    </row>
    <row r="276" ht="15.75" hidden="1" customHeight="1">
      <c r="B276" s="123"/>
      <c r="D276" s="123"/>
      <c r="F276" s="123"/>
      <c r="H276" s="123"/>
      <c r="J276" s="123"/>
      <c r="L276" s="123"/>
      <c r="N276" s="123"/>
    </row>
    <row r="277" ht="15.75" hidden="1" customHeight="1">
      <c r="B277" s="123"/>
      <c r="D277" s="123"/>
      <c r="F277" s="123"/>
      <c r="H277" s="123"/>
      <c r="J277" s="123"/>
      <c r="L277" s="123"/>
      <c r="N277" s="123"/>
    </row>
    <row r="278" ht="15.75" hidden="1" customHeight="1">
      <c r="B278" s="123"/>
      <c r="D278" s="123"/>
      <c r="F278" s="123"/>
      <c r="H278" s="123"/>
      <c r="J278" s="123"/>
      <c r="L278" s="123"/>
      <c r="N278" s="123"/>
    </row>
    <row r="279" ht="15.75" hidden="1" customHeight="1">
      <c r="B279" s="123"/>
      <c r="D279" s="123"/>
      <c r="F279" s="123"/>
      <c r="H279" s="123"/>
      <c r="J279" s="123"/>
      <c r="L279" s="123"/>
      <c r="N279" s="123"/>
    </row>
    <row r="280" ht="15.75" hidden="1" customHeight="1">
      <c r="B280" s="123"/>
      <c r="D280" s="123"/>
      <c r="F280" s="123"/>
      <c r="H280" s="123"/>
      <c r="J280" s="123"/>
      <c r="L280" s="123"/>
      <c r="N280" s="123"/>
    </row>
    <row r="281" ht="15.75" hidden="1" customHeight="1">
      <c r="B281" s="123"/>
      <c r="D281" s="123"/>
      <c r="F281" s="123"/>
      <c r="H281" s="123"/>
      <c r="J281" s="123"/>
      <c r="L281" s="123"/>
      <c r="N281" s="123"/>
    </row>
    <row r="282" ht="15.75" hidden="1" customHeight="1">
      <c r="B282" s="123"/>
      <c r="D282" s="123"/>
      <c r="F282" s="123"/>
      <c r="H282" s="123"/>
      <c r="J282" s="123"/>
      <c r="L282" s="123"/>
      <c r="N282" s="123"/>
    </row>
    <row r="283" ht="15.75" hidden="1" customHeight="1">
      <c r="B283" s="123"/>
      <c r="D283" s="123"/>
      <c r="F283" s="123"/>
      <c r="H283" s="123"/>
      <c r="J283" s="123"/>
      <c r="L283" s="123"/>
      <c r="N283" s="123"/>
    </row>
    <row r="284" ht="15.75" hidden="1" customHeight="1">
      <c r="B284" s="123"/>
      <c r="D284" s="123"/>
      <c r="F284" s="123"/>
      <c r="H284" s="123"/>
      <c r="J284" s="123"/>
      <c r="L284" s="123"/>
      <c r="N284" s="123"/>
    </row>
    <row r="285" ht="15.75" hidden="1" customHeight="1">
      <c r="B285" s="123"/>
      <c r="D285" s="123"/>
      <c r="F285" s="123"/>
      <c r="H285" s="123"/>
      <c r="J285" s="123"/>
      <c r="L285" s="123"/>
      <c r="N285" s="123"/>
    </row>
    <row r="286" ht="15.75" hidden="1" customHeight="1">
      <c r="B286" s="123"/>
      <c r="D286" s="123"/>
      <c r="F286" s="123"/>
      <c r="H286" s="123"/>
      <c r="J286" s="123"/>
      <c r="L286" s="123"/>
      <c r="N286" s="123"/>
    </row>
    <row r="287" ht="15.75" hidden="1" customHeight="1">
      <c r="B287" s="123"/>
      <c r="D287" s="123"/>
      <c r="F287" s="123"/>
      <c r="H287" s="123"/>
      <c r="J287" s="123"/>
      <c r="L287" s="123"/>
      <c r="N287" s="123"/>
    </row>
    <row r="288" ht="15.75" hidden="1" customHeight="1">
      <c r="B288" s="123"/>
      <c r="D288" s="123"/>
      <c r="F288" s="123"/>
      <c r="H288" s="123"/>
      <c r="J288" s="123"/>
      <c r="L288" s="123"/>
      <c r="N288" s="123"/>
    </row>
    <row r="289" ht="15.75" hidden="1" customHeight="1">
      <c r="B289" s="123"/>
      <c r="D289" s="123"/>
      <c r="F289" s="123"/>
      <c r="H289" s="123"/>
      <c r="J289" s="123"/>
      <c r="L289" s="123"/>
      <c r="N289" s="123"/>
    </row>
    <row r="290" ht="15.75" hidden="1" customHeight="1">
      <c r="B290" s="123"/>
      <c r="D290" s="123"/>
      <c r="F290" s="123"/>
      <c r="H290" s="123"/>
      <c r="J290" s="123"/>
      <c r="L290" s="123"/>
      <c r="N290" s="123"/>
    </row>
    <row r="291" ht="15.75" hidden="1" customHeight="1">
      <c r="B291" s="123"/>
      <c r="D291" s="123"/>
      <c r="F291" s="123"/>
      <c r="H291" s="123"/>
      <c r="J291" s="123"/>
      <c r="L291" s="123"/>
      <c r="N291" s="123"/>
    </row>
    <row r="292" ht="15.75" hidden="1" customHeight="1">
      <c r="B292" s="123"/>
      <c r="D292" s="123"/>
      <c r="F292" s="123"/>
      <c r="H292" s="123"/>
      <c r="J292" s="123"/>
      <c r="L292" s="123"/>
      <c r="N292" s="123"/>
    </row>
    <row r="293" ht="15.75" hidden="1" customHeight="1">
      <c r="B293" s="123"/>
      <c r="D293" s="123"/>
      <c r="F293" s="123"/>
      <c r="H293" s="123"/>
      <c r="J293" s="123"/>
      <c r="L293" s="123"/>
      <c r="N293" s="123"/>
    </row>
    <row r="294" ht="15.75" hidden="1" customHeight="1">
      <c r="B294" s="123"/>
      <c r="D294" s="123"/>
      <c r="F294" s="123"/>
      <c r="H294" s="123"/>
      <c r="J294" s="123"/>
      <c r="L294" s="123"/>
      <c r="N294" s="123"/>
    </row>
    <row r="295" ht="15.75" hidden="1" customHeight="1">
      <c r="B295" s="123"/>
      <c r="D295" s="123"/>
      <c r="F295" s="123"/>
      <c r="H295" s="123"/>
      <c r="J295" s="123"/>
      <c r="L295" s="123"/>
      <c r="N295" s="123"/>
    </row>
    <row r="296" ht="15.75" hidden="1" customHeight="1">
      <c r="B296" s="123"/>
      <c r="D296" s="123"/>
      <c r="F296" s="123"/>
      <c r="H296" s="123"/>
      <c r="J296" s="123"/>
      <c r="L296" s="123"/>
      <c r="N296" s="123"/>
    </row>
    <row r="297" ht="15.75" hidden="1" customHeight="1">
      <c r="B297" s="123"/>
      <c r="D297" s="123"/>
      <c r="F297" s="123"/>
      <c r="H297" s="123"/>
      <c r="J297" s="123"/>
      <c r="L297" s="123"/>
      <c r="N297" s="123"/>
    </row>
    <row r="298" ht="15.75" hidden="1" customHeight="1">
      <c r="B298" s="123"/>
      <c r="D298" s="123"/>
      <c r="F298" s="123"/>
      <c r="H298" s="123"/>
      <c r="J298" s="123"/>
      <c r="L298" s="123"/>
      <c r="N298" s="123"/>
    </row>
    <row r="299" ht="15.75" hidden="1" customHeight="1">
      <c r="B299" s="123"/>
      <c r="D299" s="123"/>
      <c r="F299" s="123"/>
      <c r="H299" s="123"/>
      <c r="J299" s="123"/>
      <c r="L299" s="123"/>
      <c r="N299" s="123"/>
    </row>
    <row r="300" ht="15.75" hidden="1" customHeight="1">
      <c r="B300" s="123"/>
      <c r="D300" s="123"/>
      <c r="F300" s="123"/>
      <c r="H300" s="123"/>
      <c r="J300" s="123"/>
      <c r="L300" s="123"/>
      <c r="N300" s="123"/>
    </row>
    <row r="301" ht="15.75" hidden="1" customHeight="1">
      <c r="B301" s="123"/>
      <c r="D301" s="123"/>
      <c r="F301" s="123"/>
      <c r="H301" s="123"/>
      <c r="J301" s="123"/>
      <c r="L301" s="123"/>
      <c r="N301" s="123"/>
    </row>
    <row r="302" ht="15.75" hidden="1" customHeight="1">
      <c r="B302" s="123"/>
      <c r="D302" s="123"/>
      <c r="F302" s="123"/>
      <c r="H302" s="123"/>
      <c r="J302" s="123"/>
      <c r="L302" s="123"/>
      <c r="N302" s="123"/>
    </row>
    <row r="303" ht="15.75" hidden="1" customHeight="1">
      <c r="B303" s="123"/>
      <c r="D303" s="123"/>
      <c r="F303" s="123"/>
      <c r="H303" s="123"/>
      <c r="J303" s="123"/>
      <c r="L303" s="123"/>
      <c r="N303" s="123"/>
    </row>
    <row r="304" ht="15.75" hidden="1" customHeight="1">
      <c r="B304" s="123"/>
      <c r="D304" s="123"/>
      <c r="F304" s="123"/>
      <c r="H304" s="123"/>
      <c r="J304" s="123"/>
      <c r="L304" s="123"/>
      <c r="N304" s="123"/>
    </row>
    <row r="305" ht="15.75" hidden="1" customHeight="1">
      <c r="B305" s="123"/>
      <c r="D305" s="123"/>
      <c r="F305" s="123"/>
      <c r="H305" s="123"/>
      <c r="J305" s="123"/>
      <c r="L305" s="123"/>
      <c r="N305" s="123"/>
    </row>
    <row r="306" ht="15.75" hidden="1" customHeight="1">
      <c r="B306" s="123"/>
      <c r="D306" s="123"/>
      <c r="F306" s="123"/>
      <c r="H306" s="123"/>
      <c r="J306" s="123"/>
      <c r="L306" s="123"/>
      <c r="N306" s="123"/>
    </row>
    <row r="307" ht="15.75" hidden="1" customHeight="1">
      <c r="B307" s="123"/>
      <c r="D307" s="123"/>
      <c r="F307" s="123"/>
      <c r="H307" s="123"/>
      <c r="J307" s="123"/>
      <c r="L307" s="123"/>
      <c r="N307" s="123"/>
    </row>
    <row r="308" ht="15.75" hidden="1" customHeight="1">
      <c r="B308" s="123"/>
      <c r="D308" s="123"/>
      <c r="F308" s="123"/>
      <c r="H308" s="123"/>
      <c r="J308" s="123"/>
      <c r="L308" s="123"/>
      <c r="N308" s="123"/>
    </row>
    <row r="309" ht="15.75" hidden="1" customHeight="1">
      <c r="B309" s="123"/>
      <c r="D309" s="123"/>
      <c r="F309" s="123"/>
      <c r="H309" s="123"/>
      <c r="J309" s="123"/>
      <c r="L309" s="123"/>
      <c r="N309" s="123"/>
    </row>
    <row r="310" ht="15.75" hidden="1" customHeight="1">
      <c r="B310" s="123"/>
      <c r="D310" s="123"/>
      <c r="F310" s="123"/>
      <c r="H310" s="123"/>
      <c r="J310" s="123"/>
      <c r="L310" s="123"/>
      <c r="N310" s="123"/>
    </row>
    <row r="311" ht="15.75" hidden="1" customHeight="1">
      <c r="B311" s="123"/>
      <c r="D311" s="123"/>
      <c r="F311" s="123"/>
      <c r="H311" s="123"/>
      <c r="J311" s="123"/>
      <c r="L311" s="123"/>
      <c r="N311" s="123"/>
    </row>
    <row r="312" ht="15.75" hidden="1" customHeight="1">
      <c r="B312" s="123"/>
      <c r="D312" s="123"/>
      <c r="F312" s="123"/>
      <c r="H312" s="123"/>
      <c r="J312" s="123"/>
      <c r="L312" s="123"/>
      <c r="N312" s="123"/>
    </row>
    <row r="313" ht="15.75" hidden="1" customHeight="1">
      <c r="B313" s="123"/>
      <c r="D313" s="123"/>
      <c r="F313" s="123"/>
      <c r="H313" s="123"/>
      <c r="J313" s="123"/>
      <c r="L313" s="123"/>
      <c r="N313" s="123"/>
    </row>
    <row r="314" ht="15.75" hidden="1" customHeight="1">
      <c r="B314" s="123"/>
      <c r="D314" s="123"/>
      <c r="F314" s="123"/>
      <c r="H314" s="123"/>
      <c r="J314" s="123"/>
      <c r="L314" s="123"/>
      <c r="N314" s="123"/>
    </row>
    <row r="315" ht="15.75" hidden="1" customHeight="1">
      <c r="B315" s="123"/>
      <c r="D315" s="123"/>
      <c r="F315" s="123"/>
      <c r="H315" s="123"/>
      <c r="J315" s="123"/>
      <c r="L315" s="123"/>
      <c r="N315" s="123"/>
    </row>
    <row r="316" ht="15.75" hidden="1" customHeight="1">
      <c r="B316" s="123"/>
      <c r="D316" s="123"/>
      <c r="F316" s="123"/>
      <c r="H316" s="123"/>
      <c r="J316" s="123"/>
      <c r="L316" s="123"/>
      <c r="N316" s="123"/>
    </row>
    <row r="317" ht="15.75" hidden="1" customHeight="1">
      <c r="B317" s="123"/>
      <c r="D317" s="123"/>
      <c r="F317" s="123"/>
      <c r="H317" s="123"/>
      <c r="J317" s="123"/>
      <c r="L317" s="123"/>
      <c r="N317" s="123"/>
    </row>
    <row r="318" ht="15.75" hidden="1" customHeight="1">
      <c r="B318" s="123"/>
      <c r="D318" s="123"/>
      <c r="F318" s="123"/>
      <c r="H318" s="123"/>
      <c r="J318" s="123"/>
      <c r="L318" s="123"/>
      <c r="N318" s="123"/>
    </row>
    <row r="319" ht="15.75" hidden="1" customHeight="1">
      <c r="B319" s="123"/>
      <c r="D319" s="123"/>
      <c r="F319" s="123"/>
      <c r="H319" s="123"/>
      <c r="J319" s="123"/>
      <c r="L319" s="123"/>
      <c r="N319" s="123"/>
    </row>
    <row r="320" ht="15.75" hidden="1" customHeight="1">
      <c r="B320" s="123"/>
      <c r="D320" s="123"/>
      <c r="F320" s="123"/>
      <c r="H320" s="123"/>
      <c r="J320" s="123"/>
      <c r="L320" s="123"/>
      <c r="N320" s="123"/>
    </row>
    <row r="321" ht="15.75" hidden="1" customHeight="1">
      <c r="B321" s="123"/>
      <c r="D321" s="123"/>
      <c r="F321" s="123"/>
      <c r="H321" s="123"/>
      <c r="J321" s="123"/>
      <c r="L321" s="123"/>
      <c r="N321" s="123"/>
    </row>
    <row r="322" ht="15.75" hidden="1" customHeight="1">
      <c r="B322" s="123"/>
      <c r="D322" s="123"/>
      <c r="F322" s="123"/>
      <c r="H322" s="123"/>
      <c r="J322" s="123"/>
      <c r="L322" s="123"/>
      <c r="N322" s="123"/>
    </row>
    <row r="323" ht="15.75" hidden="1" customHeight="1">
      <c r="B323" s="123"/>
      <c r="D323" s="123"/>
      <c r="F323" s="123"/>
      <c r="H323" s="123"/>
      <c r="J323" s="123"/>
      <c r="L323" s="123"/>
      <c r="N323" s="123"/>
    </row>
    <row r="324" ht="15.75" hidden="1" customHeight="1">
      <c r="B324" s="123"/>
      <c r="D324" s="123"/>
      <c r="F324" s="123"/>
      <c r="H324" s="123"/>
      <c r="J324" s="123"/>
      <c r="L324" s="123"/>
      <c r="N324" s="123"/>
    </row>
    <row r="325" ht="15.75" hidden="1" customHeight="1">
      <c r="B325" s="123"/>
      <c r="D325" s="123"/>
      <c r="F325" s="123"/>
      <c r="H325" s="123"/>
      <c r="J325" s="123"/>
      <c r="L325" s="123"/>
      <c r="N325" s="123"/>
    </row>
    <row r="326" ht="15.75" hidden="1" customHeight="1">
      <c r="B326" s="123"/>
      <c r="D326" s="123"/>
      <c r="F326" s="123"/>
      <c r="H326" s="123"/>
      <c r="J326" s="123"/>
      <c r="L326" s="123"/>
      <c r="N326" s="123"/>
    </row>
    <row r="327" ht="15.75" hidden="1" customHeight="1">
      <c r="B327" s="123"/>
      <c r="D327" s="123"/>
      <c r="F327" s="123"/>
      <c r="H327" s="123"/>
      <c r="J327" s="123"/>
      <c r="L327" s="123"/>
      <c r="N327" s="123"/>
    </row>
    <row r="328" ht="15.75" hidden="1" customHeight="1">
      <c r="B328" s="123"/>
      <c r="D328" s="123"/>
      <c r="F328" s="123"/>
      <c r="H328" s="123"/>
      <c r="J328" s="123"/>
      <c r="L328" s="123"/>
      <c r="N328" s="123"/>
    </row>
    <row r="329" ht="15.75" hidden="1" customHeight="1">
      <c r="B329" s="123"/>
      <c r="D329" s="123"/>
      <c r="F329" s="123"/>
      <c r="H329" s="123"/>
      <c r="J329" s="123"/>
      <c r="L329" s="123"/>
      <c r="N329" s="123"/>
    </row>
    <row r="330" ht="15.75" hidden="1" customHeight="1">
      <c r="B330" s="123"/>
      <c r="D330" s="123"/>
      <c r="F330" s="123"/>
      <c r="H330" s="123"/>
      <c r="J330" s="123"/>
      <c r="L330" s="123"/>
      <c r="N330" s="123"/>
    </row>
    <row r="331" ht="15.75" hidden="1" customHeight="1">
      <c r="B331" s="123"/>
      <c r="D331" s="123"/>
      <c r="F331" s="123"/>
      <c r="H331" s="123"/>
      <c r="J331" s="123"/>
      <c r="L331" s="123"/>
      <c r="N331" s="123"/>
    </row>
    <row r="332" ht="15.75" hidden="1" customHeight="1">
      <c r="B332" s="123"/>
      <c r="D332" s="123"/>
      <c r="F332" s="123"/>
      <c r="H332" s="123"/>
      <c r="J332" s="123"/>
      <c r="L332" s="123"/>
      <c r="N332" s="123"/>
    </row>
    <row r="333" ht="15.75" hidden="1" customHeight="1">
      <c r="B333" s="123"/>
      <c r="D333" s="123"/>
      <c r="F333" s="123"/>
      <c r="H333" s="123"/>
      <c r="J333" s="123"/>
      <c r="L333" s="123"/>
      <c r="N333" s="123"/>
    </row>
    <row r="334" ht="15.75" hidden="1" customHeight="1">
      <c r="B334" s="123"/>
      <c r="D334" s="123"/>
      <c r="F334" s="123"/>
      <c r="H334" s="123"/>
      <c r="J334" s="123"/>
      <c r="L334" s="123"/>
      <c r="N334" s="123"/>
    </row>
    <row r="335" ht="15.75" hidden="1" customHeight="1">
      <c r="B335" s="123"/>
      <c r="D335" s="123"/>
      <c r="F335" s="123"/>
      <c r="H335" s="123"/>
      <c r="J335" s="123"/>
      <c r="L335" s="123"/>
      <c r="N335" s="123"/>
    </row>
    <row r="336" ht="15.75" hidden="1" customHeight="1">
      <c r="B336" s="123"/>
      <c r="D336" s="123"/>
      <c r="F336" s="123"/>
      <c r="H336" s="123"/>
      <c r="J336" s="123"/>
      <c r="L336" s="123"/>
      <c r="N336" s="123"/>
    </row>
    <row r="337" ht="15.75" hidden="1" customHeight="1">
      <c r="B337" s="123"/>
      <c r="D337" s="123"/>
      <c r="F337" s="123"/>
      <c r="H337" s="123"/>
      <c r="J337" s="123"/>
      <c r="L337" s="123"/>
      <c r="N337" s="123"/>
    </row>
    <row r="338" ht="15.75" hidden="1" customHeight="1">
      <c r="B338" s="123"/>
      <c r="D338" s="123"/>
      <c r="F338" s="123"/>
      <c r="H338" s="123"/>
      <c r="J338" s="123"/>
      <c r="L338" s="123"/>
      <c r="N338" s="123"/>
    </row>
    <row r="339" ht="15.75" hidden="1" customHeight="1">
      <c r="B339" s="123"/>
      <c r="D339" s="123"/>
      <c r="F339" s="123"/>
      <c r="H339" s="123"/>
      <c r="J339" s="123"/>
      <c r="L339" s="123"/>
      <c r="N339" s="123"/>
    </row>
    <row r="340" ht="15.75" hidden="1" customHeight="1">
      <c r="B340" s="123"/>
      <c r="D340" s="123"/>
      <c r="F340" s="123"/>
      <c r="H340" s="123"/>
      <c r="J340" s="123"/>
      <c r="L340" s="123"/>
      <c r="N340" s="123"/>
    </row>
    <row r="341" ht="15.75" hidden="1" customHeight="1">
      <c r="B341" s="123"/>
      <c r="D341" s="123"/>
      <c r="F341" s="123"/>
      <c r="H341" s="123"/>
      <c r="J341" s="123"/>
      <c r="L341" s="123"/>
      <c r="N341" s="123"/>
    </row>
    <row r="342" ht="15.75" hidden="1" customHeight="1">
      <c r="B342" s="123"/>
      <c r="D342" s="123"/>
      <c r="F342" s="123"/>
      <c r="H342" s="123"/>
      <c r="J342" s="123"/>
      <c r="L342" s="123"/>
      <c r="N342" s="123"/>
    </row>
    <row r="343" ht="15.75" hidden="1" customHeight="1">
      <c r="B343" s="123"/>
      <c r="D343" s="123"/>
      <c r="F343" s="123"/>
      <c r="H343" s="123"/>
      <c r="J343" s="123"/>
      <c r="L343" s="123"/>
      <c r="N343" s="123"/>
    </row>
    <row r="344" ht="15.75" hidden="1" customHeight="1">
      <c r="B344" s="123"/>
      <c r="D344" s="123"/>
      <c r="F344" s="123"/>
      <c r="H344" s="123"/>
      <c r="J344" s="123"/>
      <c r="L344" s="123"/>
      <c r="N344" s="123"/>
    </row>
    <row r="345" ht="15.75" hidden="1" customHeight="1">
      <c r="B345" s="123"/>
      <c r="D345" s="123"/>
      <c r="F345" s="123"/>
      <c r="H345" s="123"/>
      <c r="J345" s="123"/>
      <c r="L345" s="123"/>
      <c r="N345" s="123"/>
    </row>
    <row r="346" ht="15.75" hidden="1" customHeight="1">
      <c r="B346" s="123"/>
      <c r="D346" s="123"/>
      <c r="F346" s="123"/>
      <c r="H346" s="123"/>
      <c r="J346" s="123"/>
      <c r="L346" s="123"/>
      <c r="N346" s="123"/>
    </row>
    <row r="347" ht="15.75" hidden="1" customHeight="1">
      <c r="B347" s="123"/>
      <c r="D347" s="123"/>
      <c r="F347" s="123"/>
      <c r="H347" s="123"/>
      <c r="J347" s="123"/>
      <c r="L347" s="123"/>
      <c r="N347" s="123"/>
    </row>
    <row r="348" ht="15.75" hidden="1" customHeight="1">
      <c r="B348" s="123"/>
      <c r="D348" s="123"/>
      <c r="F348" s="123"/>
      <c r="H348" s="123"/>
      <c r="J348" s="123"/>
      <c r="L348" s="123"/>
      <c r="N348" s="123"/>
    </row>
    <row r="349" ht="15.75" hidden="1" customHeight="1">
      <c r="B349" s="123"/>
      <c r="D349" s="123"/>
      <c r="F349" s="123"/>
      <c r="H349" s="123"/>
      <c r="J349" s="123"/>
      <c r="L349" s="123"/>
      <c r="N349" s="123"/>
    </row>
    <row r="350" ht="15.75" hidden="1" customHeight="1">
      <c r="B350" s="123"/>
      <c r="D350" s="123"/>
      <c r="F350" s="123"/>
      <c r="H350" s="123"/>
      <c r="J350" s="123"/>
      <c r="L350" s="123"/>
      <c r="N350" s="123"/>
    </row>
    <row r="351" ht="15.75" hidden="1" customHeight="1">
      <c r="B351" s="123"/>
      <c r="D351" s="123"/>
      <c r="F351" s="123"/>
      <c r="H351" s="123"/>
      <c r="J351" s="123"/>
      <c r="L351" s="123"/>
      <c r="N351" s="123"/>
    </row>
    <row r="352" ht="15.75" hidden="1" customHeight="1">
      <c r="B352" s="123"/>
      <c r="D352" s="123"/>
      <c r="F352" s="123"/>
      <c r="H352" s="123"/>
      <c r="J352" s="123"/>
      <c r="L352" s="123"/>
      <c r="N352" s="123"/>
    </row>
    <row r="353" ht="15.75" hidden="1" customHeight="1">
      <c r="B353" s="123"/>
      <c r="D353" s="123"/>
      <c r="F353" s="123"/>
      <c r="H353" s="123"/>
      <c r="J353" s="123"/>
      <c r="L353" s="123"/>
      <c r="N353" s="123"/>
    </row>
    <row r="354" ht="15.75" hidden="1" customHeight="1">
      <c r="B354" s="123"/>
      <c r="D354" s="123"/>
      <c r="F354" s="123"/>
      <c r="H354" s="123"/>
      <c r="J354" s="123"/>
      <c r="L354" s="123"/>
      <c r="N354" s="123"/>
    </row>
    <row r="355" ht="15.75" hidden="1" customHeight="1">
      <c r="B355" s="123"/>
      <c r="D355" s="123"/>
      <c r="F355" s="123"/>
      <c r="H355" s="123"/>
      <c r="J355" s="123"/>
      <c r="L355" s="123"/>
      <c r="N355" s="123"/>
    </row>
    <row r="356" ht="15.75" hidden="1" customHeight="1">
      <c r="B356" s="123"/>
      <c r="D356" s="123"/>
      <c r="F356" s="123"/>
      <c r="H356" s="123"/>
      <c r="J356" s="123"/>
      <c r="L356" s="123"/>
      <c r="N356" s="123"/>
    </row>
    <row r="357" ht="15.75" hidden="1" customHeight="1">
      <c r="B357" s="123"/>
      <c r="D357" s="123"/>
      <c r="F357" s="123"/>
      <c r="H357" s="123"/>
      <c r="J357" s="123"/>
      <c r="L357" s="123"/>
      <c r="N357" s="123"/>
    </row>
    <row r="358" ht="15.75" hidden="1" customHeight="1">
      <c r="B358" s="123"/>
      <c r="D358" s="123"/>
      <c r="F358" s="123"/>
      <c r="H358" s="123"/>
      <c r="J358" s="123"/>
      <c r="L358" s="123"/>
      <c r="N358" s="123"/>
    </row>
    <row r="359" ht="15.75" hidden="1" customHeight="1">
      <c r="B359" s="123"/>
      <c r="D359" s="123"/>
      <c r="F359" s="123"/>
      <c r="H359" s="123"/>
      <c r="J359" s="123"/>
      <c r="L359" s="123"/>
      <c r="N359" s="123"/>
    </row>
    <row r="360" ht="15.75" hidden="1" customHeight="1">
      <c r="B360" s="123"/>
      <c r="D360" s="123"/>
      <c r="F360" s="123"/>
      <c r="H360" s="123"/>
      <c r="J360" s="123"/>
      <c r="L360" s="123"/>
      <c r="N360" s="123"/>
    </row>
    <row r="361" ht="15.75" hidden="1" customHeight="1">
      <c r="B361" s="123"/>
      <c r="D361" s="123"/>
      <c r="F361" s="123"/>
      <c r="H361" s="123"/>
      <c r="J361" s="123"/>
      <c r="L361" s="123"/>
      <c r="N361" s="123"/>
    </row>
    <row r="362" ht="15.75" hidden="1" customHeight="1">
      <c r="B362" s="123"/>
      <c r="D362" s="123"/>
      <c r="F362" s="123"/>
      <c r="H362" s="123"/>
      <c r="J362" s="123"/>
      <c r="L362" s="123"/>
      <c r="N362" s="123"/>
    </row>
    <row r="363" ht="15.75" hidden="1" customHeight="1">
      <c r="B363" s="123"/>
      <c r="D363" s="123"/>
      <c r="F363" s="123"/>
      <c r="H363" s="123"/>
      <c r="J363" s="123"/>
      <c r="L363" s="123"/>
      <c r="N363" s="123"/>
    </row>
    <row r="364" ht="15.75" hidden="1" customHeight="1">
      <c r="B364" s="123"/>
      <c r="D364" s="123"/>
      <c r="F364" s="123"/>
      <c r="H364" s="123"/>
      <c r="J364" s="123"/>
      <c r="L364" s="123"/>
      <c r="N364" s="123"/>
    </row>
    <row r="365" ht="15.75" hidden="1" customHeight="1">
      <c r="B365" s="123"/>
      <c r="D365" s="123"/>
      <c r="F365" s="123"/>
      <c r="H365" s="123"/>
      <c r="J365" s="123"/>
      <c r="L365" s="123"/>
      <c r="N365" s="123"/>
    </row>
    <row r="366" ht="15.75" hidden="1" customHeight="1">
      <c r="B366" s="123"/>
      <c r="D366" s="123"/>
      <c r="F366" s="123"/>
      <c r="H366" s="123"/>
      <c r="J366" s="123"/>
      <c r="L366" s="123"/>
      <c r="N366" s="123"/>
    </row>
    <row r="367" ht="15.75" hidden="1" customHeight="1">
      <c r="B367" s="123"/>
      <c r="D367" s="123"/>
      <c r="F367" s="123"/>
      <c r="H367" s="123"/>
      <c r="J367" s="123"/>
      <c r="L367" s="123"/>
      <c r="N367" s="123"/>
    </row>
    <row r="368" ht="15.75" hidden="1" customHeight="1">
      <c r="B368" s="123"/>
      <c r="D368" s="123"/>
      <c r="F368" s="123"/>
      <c r="H368" s="123"/>
      <c r="J368" s="123"/>
      <c r="L368" s="123"/>
      <c r="N368" s="123"/>
    </row>
    <row r="369" ht="15.75" hidden="1" customHeight="1">
      <c r="B369" s="123"/>
      <c r="D369" s="123"/>
      <c r="F369" s="123"/>
      <c r="H369" s="123"/>
      <c r="J369" s="123"/>
      <c r="L369" s="123"/>
      <c r="N369" s="123"/>
    </row>
    <row r="370" ht="15.75" hidden="1" customHeight="1">
      <c r="B370" s="123"/>
      <c r="D370" s="123"/>
      <c r="F370" s="123"/>
      <c r="H370" s="123"/>
      <c r="J370" s="123"/>
      <c r="L370" s="123"/>
      <c r="N370" s="123"/>
    </row>
    <row r="371" ht="15.75" hidden="1" customHeight="1">
      <c r="B371" s="123"/>
      <c r="D371" s="123"/>
      <c r="F371" s="123"/>
      <c r="H371" s="123"/>
      <c r="J371" s="123"/>
      <c r="L371" s="123"/>
      <c r="N371" s="123"/>
    </row>
    <row r="372" ht="15.75" hidden="1" customHeight="1">
      <c r="B372" s="123"/>
      <c r="D372" s="123"/>
      <c r="F372" s="123"/>
      <c r="H372" s="123"/>
      <c r="J372" s="123"/>
      <c r="L372" s="123"/>
      <c r="N372" s="123"/>
    </row>
    <row r="373" ht="15.75" hidden="1" customHeight="1">
      <c r="B373" s="123"/>
      <c r="D373" s="123"/>
      <c r="F373" s="123"/>
      <c r="H373" s="123"/>
      <c r="J373" s="123"/>
      <c r="L373" s="123"/>
      <c r="N373" s="123"/>
    </row>
    <row r="374" ht="15.75" hidden="1" customHeight="1">
      <c r="B374" s="123"/>
      <c r="D374" s="123"/>
      <c r="F374" s="123"/>
      <c r="H374" s="123"/>
      <c r="J374" s="123"/>
      <c r="L374" s="123"/>
      <c r="N374" s="123"/>
    </row>
    <row r="375" ht="15.75" hidden="1" customHeight="1">
      <c r="B375" s="123"/>
      <c r="D375" s="123"/>
      <c r="F375" s="123"/>
      <c r="H375" s="123"/>
      <c r="J375" s="123"/>
      <c r="L375" s="123"/>
      <c r="N375" s="123"/>
    </row>
    <row r="376" ht="15.75" hidden="1" customHeight="1">
      <c r="B376" s="123"/>
      <c r="D376" s="123"/>
      <c r="F376" s="123"/>
      <c r="H376" s="123"/>
      <c r="J376" s="123"/>
      <c r="L376" s="123"/>
      <c r="N376" s="123"/>
    </row>
    <row r="377" ht="15.75" hidden="1" customHeight="1">
      <c r="B377" s="123"/>
      <c r="D377" s="123"/>
      <c r="F377" s="123"/>
      <c r="H377" s="123"/>
      <c r="J377" s="123"/>
      <c r="L377" s="123"/>
      <c r="N377" s="123"/>
    </row>
    <row r="378" ht="15.75" hidden="1" customHeight="1">
      <c r="B378" s="123"/>
      <c r="D378" s="123"/>
      <c r="F378" s="123"/>
      <c r="H378" s="123"/>
      <c r="J378" s="123"/>
      <c r="L378" s="123"/>
      <c r="N378" s="123"/>
    </row>
    <row r="379" ht="15.75" hidden="1" customHeight="1">
      <c r="B379" s="123"/>
      <c r="D379" s="123"/>
      <c r="F379" s="123"/>
      <c r="H379" s="123"/>
      <c r="J379" s="123"/>
      <c r="L379" s="123"/>
      <c r="N379" s="123"/>
    </row>
    <row r="380" ht="15.75" hidden="1" customHeight="1">
      <c r="B380" s="123"/>
      <c r="D380" s="123"/>
      <c r="F380" s="123"/>
      <c r="H380" s="123"/>
      <c r="J380" s="123"/>
      <c r="L380" s="123"/>
      <c r="N380" s="123"/>
    </row>
    <row r="381" ht="15.75" hidden="1" customHeight="1">
      <c r="B381" s="123"/>
      <c r="D381" s="123"/>
      <c r="F381" s="123"/>
      <c r="H381" s="123"/>
      <c r="J381" s="123"/>
      <c r="L381" s="123"/>
      <c r="N381" s="123"/>
    </row>
    <row r="382" ht="15.75" hidden="1" customHeight="1">
      <c r="B382" s="123"/>
      <c r="D382" s="123"/>
      <c r="F382" s="123"/>
      <c r="H382" s="123"/>
      <c r="J382" s="123"/>
      <c r="L382" s="123"/>
      <c r="N382" s="123"/>
    </row>
    <row r="383" ht="15.75" hidden="1" customHeight="1">
      <c r="B383" s="123"/>
      <c r="D383" s="123"/>
      <c r="F383" s="123"/>
      <c r="H383" s="123"/>
      <c r="J383" s="123"/>
      <c r="L383" s="123"/>
      <c r="N383" s="123"/>
    </row>
    <row r="384" ht="15.75" hidden="1" customHeight="1">
      <c r="B384" s="123"/>
      <c r="D384" s="123"/>
      <c r="F384" s="123"/>
      <c r="H384" s="123"/>
      <c r="J384" s="123"/>
      <c r="L384" s="123"/>
      <c r="N384" s="123"/>
    </row>
    <row r="385" ht="15.75" hidden="1" customHeight="1">
      <c r="B385" s="123"/>
      <c r="D385" s="123"/>
      <c r="F385" s="123"/>
      <c r="H385" s="123"/>
      <c r="J385" s="123"/>
      <c r="L385" s="123"/>
      <c r="N385" s="123"/>
    </row>
    <row r="386" ht="15.75" hidden="1" customHeight="1">
      <c r="B386" s="123"/>
      <c r="D386" s="123"/>
      <c r="F386" s="123"/>
      <c r="H386" s="123"/>
      <c r="J386" s="123"/>
      <c r="L386" s="123"/>
      <c r="N386" s="123"/>
    </row>
    <row r="387" ht="15.75" hidden="1" customHeight="1">
      <c r="B387" s="123"/>
      <c r="D387" s="123"/>
      <c r="F387" s="123"/>
      <c r="H387" s="123"/>
      <c r="J387" s="123"/>
      <c r="L387" s="123"/>
      <c r="N387" s="123"/>
    </row>
    <row r="388" ht="15.75" hidden="1" customHeight="1">
      <c r="B388" s="123"/>
      <c r="D388" s="123"/>
      <c r="F388" s="123"/>
      <c r="H388" s="123"/>
      <c r="J388" s="123"/>
      <c r="L388" s="123"/>
      <c r="N388" s="123"/>
    </row>
    <row r="389" ht="15.75" hidden="1" customHeight="1">
      <c r="B389" s="123"/>
      <c r="D389" s="123"/>
      <c r="F389" s="123"/>
      <c r="H389" s="123"/>
      <c r="J389" s="123"/>
      <c r="L389" s="123"/>
      <c r="N389" s="123"/>
    </row>
    <row r="390" ht="15.75" hidden="1" customHeight="1">
      <c r="B390" s="123"/>
      <c r="D390" s="123"/>
      <c r="F390" s="123"/>
      <c r="H390" s="123"/>
      <c r="J390" s="123"/>
      <c r="L390" s="123"/>
      <c r="N390" s="123"/>
    </row>
    <row r="391" ht="15.75" hidden="1" customHeight="1">
      <c r="B391" s="123"/>
      <c r="D391" s="123"/>
      <c r="F391" s="123"/>
      <c r="H391" s="123"/>
      <c r="J391" s="123"/>
      <c r="L391" s="123"/>
      <c r="N391" s="123"/>
    </row>
    <row r="392" ht="15.75" hidden="1" customHeight="1">
      <c r="B392" s="123"/>
      <c r="D392" s="123"/>
      <c r="F392" s="123"/>
      <c r="H392" s="123"/>
      <c r="J392" s="123"/>
      <c r="L392" s="123"/>
      <c r="N392" s="123"/>
    </row>
    <row r="393" ht="15.75" hidden="1" customHeight="1">
      <c r="B393" s="123"/>
      <c r="D393" s="123"/>
      <c r="F393" s="123"/>
      <c r="H393" s="123"/>
      <c r="J393" s="123"/>
      <c r="L393" s="123"/>
      <c r="N393" s="123"/>
    </row>
    <row r="394" ht="15.75" hidden="1" customHeight="1">
      <c r="B394" s="123"/>
      <c r="D394" s="123"/>
      <c r="F394" s="123"/>
      <c r="H394" s="123"/>
      <c r="J394" s="123"/>
      <c r="L394" s="123"/>
      <c r="N394" s="123"/>
    </row>
    <row r="395" ht="15.75" hidden="1" customHeight="1">
      <c r="B395" s="123"/>
      <c r="D395" s="123"/>
      <c r="F395" s="123"/>
      <c r="H395" s="123"/>
      <c r="J395" s="123"/>
      <c r="L395" s="123"/>
      <c r="N395" s="123"/>
    </row>
    <row r="396" ht="15.75" hidden="1" customHeight="1">
      <c r="B396" s="123"/>
      <c r="D396" s="123"/>
      <c r="F396" s="123"/>
      <c r="H396" s="123"/>
      <c r="J396" s="123"/>
      <c r="L396" s="123"/>
      <c r="N396" s="123"/>
    </row>
    <row r="397" ht="15.75" hidden="1" customHeight="1">
      <c r="B397" s="123"/>
      <c r="D397" s="123"/>
      <c r="F397" s="123"/>
      <c r="H397" s="123"/>
      <c r="J397" s="123"/>
      <c r="L397" s="123"/>
      <c r="N397" s="123"/>
    </row>
    <row r="398" ht="15.75" hidden="1" customHeight="1">
      <c r="B398" s="123"/>
      <c r="D398" s="123"/>
      <c r="F398" s="123"/>
      <c r="H398" s="123"/>
      <c r="J398" s="123"/>
      <c r="L398" s="123"/>
      <c r="N398" s="123"/>
    </row>
    <row r="399" ht="15.75" hidden="1" customHeight="1">
      <c r="B399" s="123"/>
      <c r="D399" s="123"/>
      <c r="F399" s="123"/>
      <c r="H399" s="123"/>
      <c r="J399" s="123"/>
      <c r="L399" s="123"/>
      <c r="N399" s="123"/>
    </row>
    <row r="400" ht="15.75" hidden="1" customHeight="1">
      <c r="B400" s="123"/>
      <c r="D400" s="123"/>
      <c r="F400" s="123"/>
      <c r="H400" s="123"/>
      <c r="J400" s="123"/>
      <c r="L400" s="123"/>
      <c r="N400" s="123"/>
    </row>
    <row r="401" ht="15.75" hidden="1" customHeight="1">
      <c r="B401" s="123"/>
      <c r="D401" s="123"/>
      <c r="F401" s="123"/>
      <c r="H401" s="123"/>
      <c r="J401" s="123"/>
      <c r="L401" s="123"/>
      <c r="N401" s="123"/>
    </row>
    <row r="402" ht="15.75" hidden="1" customHeight="1">
      <c r="B402" s="123"/>
      <c r="D402" s="123"/>
      <c r="F402" s="123"/>
      <c r="H402" s="123"/>
      <c r="J402" s="123"/>
      <c r="L402" s="123"/>
      <c r="N402" s="123"/>
    </row>
    <row r="403" ht="15.75" hidden="1" customHeight="1">
      <c r="B403" s="123"/>
      <c r="D403" s="123"/>
      <c r="F403" s="123"/>
      <c r="H403" s="123"/>
      <c r="J403" s="123"/>
      <c r="L403" s="123"/>
      <c r="N403" s="123"/>
    </row>
    <row r="404" ht="15.75" hidden="1" customHeight="1">
      <c r="B404" s="123"/>
      <c r="D404" s="123"/>
      <c r="F404" s="123"/>
      <c r="H404" s="123"/>
      <c r="J404" s="123"/>
      <c r="L404" s="123"/>
      <c r="N404" s="123"/>
    </row>
    <row r="405" ht="15.75" hidden="1" customHeight="1">
      <c r="B405" s="123"/>
      <c r="D405" s="123"/>
      <c r="F405" s="123"/>
      <c r="H405" s="123"/>
      <c r="J405" s="123"/>
      <c r="L405" s="123"/>
      <c r="N405" s="123"/>
    </row>
    <row r="406" ht="15.75" hidden="1" customHeight="1">
      <c r="B406" s="123"/>
      <c r="D406" s="123"/>
      <c r="F406" s="123"/>
      <c r="H406" s="123"/>
      <c r="J406" s="123"/>
      <c r="L406" s="123"/>
      <c r="N406" s="123"/>
    </row>
    <row r="407" ht="15.75" hidden="1" customHeight="1">
      <c r="B407" s="123"/>
      <c r="D407" s="123"/>
      <c r="F407" s="123"/>
      <c r="H407" s="123"/>
      <c r="J407" s="123"/>
      <c r="L407" s="123"/>
      <c r="N407" s="123"/>
    </row>
    <row r="408" ht="15.75" hidden="1" customHeight="1">
      <c r="B408" s="123"/>
      <c r="D408" s="123"/>
      <c r="F408" s="123"/>
      <c r="H408" s="123"/>
      <c r="J408" s="123"/>
      <c r="L408" s="123"/>
      <c r="N408" s="123"/>
    </row>
    <row r="409" ht="15.75" hidden="1" customHeight="1">
      <c r="B409" s="123"/>
      <c r="D409" s="123"/>
      <c r="F409" s="123"/>
      <c r="H409" s="123"/>
      <c r="J409" s="123"/>
      <c r="L409" s="123"/>
      <c r="N409" s="123"/>
    </row>
    <row r="410" ht="15.75" hidden="1" customHeight="1">
      <c r="B410" s="123"/>
      <c r="D410" s="123"/>
      <c r="F410" s="123"/>
      <c r="H410" s="123"/>
      <c r="J410" s="123"/>
      <c r="L410" s="123"/>
      <c r="N410" s="123"/>
    </row>
    <row r="411" ht="15.75" hidden="1" customHeight="1">
      <c r="B411" s="123"/>
      <c r="D411" s="123"/>
      <c r="F411" s="123"/>
      <c r="H411" s="123"/>
      <c r="J411" s="123"/>
      <c r="L411" s="123"/>
      <c r="N411" s="123"/>
    </row>
    <row r="412" ht="15.75" hidden="1" customHeight="1">
      <c r="B412" s="123"/>
      <c r="D412" s="123"/>
      <c r="F412" s="123"/>
      <c r="H412" s="123"/>
      <c r="J412" s="123"/>
      <c r="L412" s="123"/>
      <c r="N412" s="123"/>
    </row>
    <row r="413" ht="15.75" hidden="1" customHeight="1">
      <c r="B413" s="123"/>
      <c r="D413" s="123"/>
      <c r="F413" s="123"/>
      <c r="H413" s="123"/>
      <c r="J413" s="123"/>
      <c r="L413" s="123"/>
      <c r="N413" s="123"/>
    </row>
    <row r="414" ht="15.75" hidden="1" customHeight="1">
      <c r="B414" s="123"/>
      <c r="D414" s="123"/>
      <c r="F414" s="123"/>
      <c r="H414" s="123"/>
      <c r="J414" s="123"/>
      <c r="L414" s="123"/>
      <c r="N414" s="123"/>
    </row>
    <row r="415" ht="15.75" hidden="1" customHeight="1">
      <c r="B415" s="123"/>
      <c r="D415" s="123"/>
      <c r="F415" s="123"/>
      <c r="H415" s="123"/>
      <c r="J415" s="123"/>
      <c r="L415" s="123"/>
      <c r="N415" s="123"/>
    </row>
    <row r="416" ht="15.75" hidden="1" customHeight="1">
      <c r="B416" s="123"/>
      <c r="D416" s="123"/>
      <c r="F416" s="123"/>
      <c r="H416" s="123"/>
      <c r="J416" s="123"/>
      <c r="L416" s="123"/>
      <c r="N416" s="123"/>
    </row>
    <row r="417" ht="15.75" hidden="1" customHeight="1">
      <c r="B417" s="123"/>
      <c r="D417" s="123"/>
      <c r="F417" s="123"/>
      <c r="H417" s="123"/>
      <c r="J417" s="123"/>
      <c r="L417" s="123"/>
      <c r="N417" s="123"/>
    </row>
    <row r="418" ht="15.75" hidden="1" customHeight="1">
      <c r="B418" s="123"/>
      <c r="D418" s="123"/>
      <c r="F418" s="123"/>
      <c r="H418" s="123"/>
      <c r="J418" s="123"/>
      <c r="L418" s="123"/>
      <c r="N418" s="123"/>
    </row>
    <row r="419" ht="15.75" hidden="1" customHeight="1">
      <c r="B419" s="123"/>
      <c r="D419" s="123"/>
      <c r="F419" s="123"/>
      <c r="H419" s="123"/>
      <c r="J419" s="123"/>
      <c r="L419" s="123"/>
      <c r="N419" s="123"/>
    </row>
    <row r="420" ht="15.75" hidden="1" customHeight="1">
      <c r="B420" s="123"/>
      <c r="D420" s="123"/>
      <c r="F420" s="123"/>
      <c r="H420" s="123"/>
      <c r="J420" s="123"/>
      <c r="L420" s="123"/>
      <c r="N420" s="123"/>
    </row>
    <row r="421" ht="15.75" hidden="1" customHeight="1">
      <c r="B421" s="123"/>
      <c r="D421" s="123"/>
      <c r="F421" s="123"/>
      <c r="H421" s="123"/>
      <c r="J421" s="123"/>
      <c r="L421" s="123"/>
      <c r="N421" s="123"/>
    </row>
    <row r="422" ht="15.75" hidden="1" customHeight="1">
      <c r="B422" s="123"/>
      <c r="D422" s="123"/>
      <c r="F422" s="123"/>
      <c r="H422" s="123"/>
      <c r="J422" s="123"/>
      <c r="L422" s="123"/>
      <c r="N422" s="123"/>
    </row>
    <row r="423" ht="15.75" hidden="1" customHeight="1">
      <c r="B423" s="123"/>
      <c r="D423" s="123"/>
      <c r="F423" s="123"/>
      <c r="H423" s="123"/>
      <c r="J423" s="123"/>
      <c r="L423" s="123"/>
      <c r="N423" s="123"/>
    </row>
    <row r="424" ht="15.75" hidden="1" customHeight="1">
      <c r="B424" s="123"/>
      <c r="D424" s="123"/>
      <c r="F424" s="123"/>
      <c r="H424" s="123"/>
      <c r="J424" s="123"/>
      <c r="L424" s="123"/>
      <c r="N424" s="123"/>
    </row>
    <row r="425" ht="15.75" hidden="1" customHeight="1">
      <c r="B425" s="123"/>
      <c r="D425" s="123"/>
      <c r="F425" s="123"/>
      <c r="H425" s="123"/>
      <c r="J425" s="123"/>
      <c r="L425" s="123"/>
      <c r="N425" s="123"/>
    </row>
    <row r="426" ht="15.75" hidden="1" customHeight="1">
      <c r="B426" s="123"/>
      <c r="D426" s="123"/>
      <c r="F426" s="123"/>
      <c r="H426" s="123"/>
      <c r="J426" s="123"/>
      <c r="L426" s="123"/>
      <c r="N426" s="123"/>
    </row>
    <row r="427" ht="15.75" hidden="1" customHeight="1">
      <c r="B427" s="123"/>
      <c r="D427" s="123"/>
      <c r="F427" s="123"/>
      <c r="H427" s="123"/>
      <c r="J427" s="123"/>
      <c r="L427" s="123"/>
      <c r="N427" s="123"/>
    </row>
    <row r="428" ht="15.75" hidden="1" customHeight="1">
      <c r="B428" s="123"/>
      <c r="D428" s="123"/>
      <c r="F428" s="123"/>
      <c r="H428" s="123"/>
      <c r="J428" s="123"/>
      <c r="L428" s="123"/>
      <c r="N428" s="123"/>
    </row>
    <row r="429" ht="15.75" hidden="1" customHeight="1">
      <c r="B429" s="123"/>
      <c r="D429" s="123"/>
      <c r="F429" s="123"/>
      <c r="H429" s="123"/>
      <c r="J429" s="123"/>
      <c r="L429" s="123"/>
      <c r="N429" s="123"/>
    </row>
    <row r="430" ht="15.75" hidden="1" customHeight="1">
      <c r="B430" s="123"/>
      <c r="D430" s="123"/>
      <c r="F430" s="123"/>
      <c r="H430" s="123"/>
      <c r="J430" s="123"/>
      <c r="L430" s="123"/>
      <c r="N430" s="123"/>
    </row>
    <row r="431" ht="15.75" hidden="1" customHeight="1">
      <c r="B431" s="123"/>
      <c r="D431" s="123"/>
      <c r="F431" s="123"/>
      <c r="H431" s="123"/>
      <c r="J431" s="123"/>
      <c r="L431" s="123"/>
      <c r="N431" s="123"/>
    </row>
    <row r="432" ht="15.75" hidden="1" customHeight="1">
      <c r="B432" s="123"/>
      <c r="D432" s="123"/>
      <c r="F432" s="123"/>
      <c r="H432" s="123"/>
      <c r="J432" s="123"/>
      <c r="L432" s="123"/>
      <c r="N432" s="123"/>
    </row>
    <row r="433" ht="15.75" hidden="1" customHeight="1">
      <c r="B433" s="123"/>
      <c r="D433" s="123"/>
      <c r="F433" s="123"/>
      <c r="H433" s="123"/>
      <c r="J433" s="123"/>
      <c r="L433" s="123"/>
      <c r="N433" s="123"/>
    </row>
    <row r="434" ht="15.75" hidden="1" customHeight="1">
      <c r="B434" s="123"/>
      <c r="D434" s="123"/>
      <c r="F434" s="123"/>
      <c r="H434" s="123"/>
      <c r="J434" s="123"/>
      <c r="L434" s="123"/>
      <c r="N434" s="123"/>
    </row>
    <row r="435" ht="15.75" hidden="1" customHeight="1">
      <c r="B435" s="123"/>
      <c r="D435" s="123"/>
      <c r="F435" s="123"/>
      <c r="H435" s="123"/>
      <c r="J435" s="123"/>
      <c r="L435" s="123"/>
      <c r="N435" s="123"/>
    </row>
    <row r="436" ht="15.75" hidden="1" customHeight="1">
      <c r="B436" s="123"/>
      <c r="D436" s="123"/>
      <c r="F436" s="123"/>
      <c r="H436" s="123"/>
      <c r="J436" s="123"/>
      <c r="L436" s="123"/>
      <c r="N436" s="123"/>
    </row>
    <row r="437" ht="15.75" hidden="1" customHeight="1">
      <c r="B437" s="123"/>
      <c r="D437" s="123"/>
      <c r="F437" s="123"/>
      <c r="H437" s="123"/>
      <c r="J437" s="123"/>
      <c r="L437" s="123"/>
      <c r="N437" s="123"/>
    </row>
    <row r="438" ht="15.75" hidden="1" customHeight="1">
      <c r="B438" s="123"/>
      <c r="D438" s="123"/>
      <c r="F438" s="123"/>
      <c r="H438" s="123"/>
      <c r="J438" s="123"/>
      <c r="L438" s="123"/>
      <c r="N438" s="123"/>
    </row>
    <row r="439" ht="15.75" hidden="1" customHeight="1">
      <c r="B439" s="123"/>
      <c r="D439" s="123"/>
      <c r="F439" s="123"/>
      <c r="H439" s="123"/>
      <c r="J439" s="123"/>
      <c r="L439" s="123"/>
      <c r="N439" s="123"/>
    </row>
    <row r="440" ht="15.75" hidden="1" customHeight="1">
      <c r="B440" s="123"/>
      <c r="D440" s="123"/>
      <c r="F440" s="123"/>
      <c r="H440" s="123"/>
      <c r="J440" s="123"/>
      <c r="L440" s="123"/>
      <c r="N440" s="123"/>
    </row>
    <row r="441" ht="15.75" hidden="1" customHeight="1">
      <c r="B441" s="123"/>
      <c r="D441" s="123"/>
      <c r="F441" s="123"/>
      <c r="H441" s="123"/>
      <c r="J441" s="123"/>
      <c r="L441" s="123"/>
      <c r="N441" s="123"/>
    </row>
    <row r="442" ht="15.75" hidden="1" customHeight="1">
      <c r="B442" s="123"/>
      <c r="D442" s="123"/>
      <c r="F442" s="123"/>
      <c r="H442" s="123"/>
      <c r="J442" s="123"/>
      <c r="L442" s="123"/>
      <c r="N442" s="123"/>
    </row>
    <row r="443" ht="15.75" hidden="1" customHeight="1">
      <c r="B443" s="123"/>
      <c r="D443" s="123"/>
      <c r="F443" s="123"/>
      <c r="H443" s="123"/>
      <c r="J443" s="123"/>
      <c r="L443" s="123"/>
      <c r="N443" s="123"/>
    </row>
    <row r="444" ht="15.75" hidden="1" customHeight="1">
      <c r="B444" s="123"/>
      <c r="D444" s="123"/>
      <c r="F444" s="123"/>
      <c r="H444" s="123"/>
      <c r="J444" s="123"/>
      <c r="L444" s="123"/>
      <c r="N444" s="123"/>
    </row>
    <row r="445" ht="15.75" hidden="1" customHeight="1">
      <c r="B445" s="123"/>
      <c r="D445" s="123"/>
      <c r="F445" s="123"/>
      <c r="H445" s="123"/>
      <c r="J445" s="123"/>
      <c r="L445" s="123"/>
      <c r="N445" s="123"/>
    </row>
    <row r="446" ht="15.75" hidden="1" customHeight="1">
      <c r="B446" s="123"/>
      <c r="D446" s="123"/>
      <c r="F446" s="123"/>
      <c r="H446" s="123"/>
      <c r="J446" s="123"/>
      <c r="L446" s="123"/>
      <c r="N446" s="123"/>
    </row>
    <row r="447" ht="15.75" hidden="1" customHeight="1">
      <c r="B447" s="123"/>
      <c r="D447" s="123"/>
      <c r="F447" s="123"/>
      <c r="H447" s="123"/>
      <c r="J447" s="123"/>
      <c r="L447" s="123"/>
      <c r="N447" s="123"/>
    </row>
    <row r="448" ht="15.75" hidden="1" customHeight="1">
      <c r="B448" s="123"/>
      <c r="D448" s="123"/>
      <c r="F448" s="123"/>
      <c r="H448" s="123"/>
      <c r="J448" s="123"/>
      <c r="L448" s="123"/>
      <c r="N448" s="123"/>
    </row>
    <row r="449" ht="15.75" hidden="1" customHeight="1">
      <c r="B449" s="123"/>
      <c r="D449" s="123"/>
      <c r="F449" s="123"/>
      <c r="H449" s="123"/>
      <c r="J449" s="123"/>
      <c r="L449" s="123"/>
      <c r="N449" s="123"/>
    </row>
    <row r="450" ht="15.75" hidden="1" customHeight="1">
      <c r="B450" s="123"/>
      <c r="D450" s="123"/>
      <c r="F450" s="123"/>
      <c r="H450" s="123"/>
      <c r="J450" s="123"/>
      <c r="L450" s="123"/>
      <c r="N450" s="123"/>
    </row>
    <row r="451" ht="15.75" hidden="1" customHeight="1">
      <c r="B451" s="123"/>
      <c r="D451" s="123"/>
      <c r="F451" s="123"/>
      <c r="H451" s="123"/>
      <c r="J451" s="123"/>
      <c r="L451" s="123"/>
      <c r="N451" s="123"/>
    </row>
    <row r="452" ht="15.75" hidden="1" customHeight="1">
      <c r="B452" s="123"/>
      <c r="D452" s="123"/>
      <c r="F452" s="123"/>
      <c r="H452" s="123"/>
      <c r="J452" s="123"/>
      <c r="L452" s="123"/>
      <c r="N452" s="123"/>
    </row>
    <row r="453" ht="15.75" hidden="1" customHeight="1">
      <c r="B453" s="123"/>
      <c r="D453" s="123"/>
      <c r="F453" s="123"/>
      <c r="H453" s="123"/>
      <c r="J453" s="123"/>
      <c r="L453" s="123"/>
      <c r="N453" s="123"/>
    </row>
    <row r="454" ht="15.75" hidden="1" customHeight="1">
      <c r="B454" s="123"/>
      <c r="D454" s="123"/>
      <c r="F454" s="123"/>
      <c r="H454" s="123"/>
      <c r="J454" s="123"/>
      <c r="L454" s="123"/>
      <c r="N454" s="123"/>
    </row>
    <row r="455" ht="15.75" hidden="1" customHeight="1">
      <c r="B455" s="123"/>
      <c r="D455" s="123"/>
      <c r="F455" s="123"/>
      <c r="H455" s="123"/>
      <c r="J455" s="123"/>
      <c r="L455" s="123"/>
      <c r="N455" s="123"/>
    </row>
    <row r="456" ht="15.75" hidden="1" customHeight="1">
      <c r="B456" s="123"/>
      <c r="D456" s="123"/>
      <c r="F456" s="123"/>
      <c r="H456" s="123"/>
      <c r="J456" s="123"/>
      <c r="L456" s="123"/>
      <c r="N456" s="123"/>
    </row>
    <row r="457" ht="15.75" hidden="1" customHeight="1">
      <c r="B457" s="123"/>
      <c r="D457" s="123"/>
      <c r="F457" s="123"/>
      <c r="H457" s="123"/>
      <c r="J457" s="123"/>
      <c r="L457" s="123"/>
      <c r="N457" s="123"/>
    </row>
    <row r="458" ht="15.75" hidden="1" customHeight="1">
      <c r="B458" s="123"/>
      <c r="D458" s="123"/>
      <c r="F458" s="123"/>
      <c r="H458" s="123"/>
      <c r="J458" s="123"/>
      <c r="L458" s="123"/>
      <c r="N458" s="123"/>
    </row>
    <row r="459" ht="15.75" hidden="1" customHeight="1">
      <c r="B459" s="123"/>
      <c r="D459" s="123"/>
      <c r="F459" s="123"/>
      <c r="H459" s="123"/>
      <c r="J459" s="123"/>
      <c r="L459" s="123"/>
      <c r="N459" s="123"/>
    </row>
    <row r="460" ht="15.75" hidden="1" customHeight="1">
      <c r="B460" s="123"/>
      <c r="D460" s="123"/>
      <c r="F460" s="123"/>
      <c r="H460" s="123"/>
      <c r="J460" s="123"/>
      <c r="L460" s="123"/>
      <c r="N460" s="123"/>
    </row>
    <row r="461" ht="15.75" hidden="1" customHeight="1">
      <c r="B461" s="123"/>
      <c r="D461" s="123"/>
      <c r="F461" s="123"/>
      <c r="H461" s="123"/>
      <c r="J461" s="123"/>
      <c r="L461" s="123"/>
      <c r="N461" s="123"/>
    </row>
    <row r="462" ht="15.75" hidden="1" customHeight="1">
      <c r="B462" s="123"/>
      <c r="D462" s="123"/>
      <c r="F462" s="123"/>
      <c r="H462" s="123"/>
      <c r="J462" s="123"/>
      <c r="L462" s="123"/>
      <c r="N462" s="123"/>
    </row>
    <row r="463" ht="15.75" hidden="1" customHeight="1">
      <c r="B463" s="123"/>
      <c r="D463" s="123"/>
      <c r="F463" s="123"/>
      <c r="H463" s="123"/>
      <c r="J463" s="123"/>
      <c r="L463" s="123"/>
      <c r="N463" s="123"/>
    </row>
    <row r="464" ht="15.75" hidden="1" customHeight="1">
      <c r="B464" s="123"/>
      <c r="D464" s="123"/>
      <c r="F464" s="123"/>
      <c r="H464" s="123"/>
      <c r="J464" s="123"/>
      <c r="L464" s="123"/>
      <c r="N464" s="123"/>
    </row>
    <row r="465" ht="15.75" hidden="1" customHeight="1">
      <c r="B465" s="123"/>
      <c r="D465" s="123"/>
      <c r="F465" s="123"/>
      <c r="H465" s="123"/>
      <c r="J465" s="123"/>
      <c r="L465" s="123"/>
      <c r="N465" s="123"/>
    </row>
    <row r="466" ht="15.75" hidden="1" customHeight="1">
      <c r="B466" s="123"/>
      <c r="D466" s="123"/>
      <c r="F466" s="123"/>
      <c r="H466" s="123"/>
      <c r="J466" s="123"/>
      <c r="L466" s="123"/>
      <c r="N466" s="123"/>
    </row>
    <row r="467" ht="15.75" hidden="1" customHeight="1">
      <c r="B467" s="123"/>
      <c r="D467" s="123"/>
      <c r="F467" s="123"/>
      <c r="H467" s="123"/>
      <c r="J467" s="123"/>
      <c r="L467" s="123"/>
      <c r="N467" s="123"/>
    </row>
    <row r="468" ht="15.75" hidden="1" customHeight="1">
      <c r="B468" s="123"/>
      <c r="D468" s="123"/>
      <c r="F468" s="123"/>
      <c r="H468" s="123"/>
      <c r="J468" s="123"/>
      <c r="L468" s="123"/>
      <c r="N468" s="123"/>
    </row>
    <row r="469" ht="15.75" hidden="1" customHeight="1">
      <c r="B469" s="123"/>
      <c r="D469" s="123"/>
      <c r="F469" s="123"/>
      <c r="H469" s="123"/>
      <c r="J469" s="123"/>
      <c r="L469" s="123"/>
      <c r="N469" s="123"/>
    </row>
    <row r="470" ht="15.75" hidden="1" customHeight="1">
      <c r="B470" s="123"/>
      <c r="D470" s="123"/>
      <c r="F470" s="123"/>
      <c r="H470" s="123"/>
      <c r="J470" s="123"/>
      <c r="L470" s="123"/>
      <c r="N470" s="123"/>
    </row>
    <row r="471" ht="15.75" hidden="1" customHeight="1">
      <c r="B471" s="123"/>
      <c r="D471" s="123"/>
      <c r="F471" s="123"/>
      <c r="H471" s="123"/>
      <c r="J471" s="123"/>
      <c r="L471" s="123"/>
      <c r="N471" s="123"/>
    </row>
    <row r="472" ht="15.75" hidden="1" customHeight="1">
      <c r="B472" s="123"/>
      <c r="D472" s="123"/>
      <c r="F472" s="123"/>
      <c r="H472" s="123"/>
      <c r="J472" s="123"/>
      <c r="L472" s="123"/>
      <c r="N472" s="123"/>
    </row>
    <row r="473" ht="15.75" hidden="1" customHeight="1">
      <c r="B473" s="123"/>
      <c r="D473" s="123"/>
      <c r="F473" s="123"/>
      <c r="H473" s="123"/>
      <c r="J473" s="123"/>
      <c r="L473" s="123"/>
      <c r="N473" s="123"/>
    </row>
    <row r="474" ht="15.75" hidden="1" customHeight="1">
      <c r="B474" s="123"/>
      <c r="D474" s="123"/>
      <c r="F474" s="123"/>
      <c r="H474" s="123"/>
      <c r="J474" s="123"/>
      <c r="L474" s="123"/>
      <c r="N474" s="123"/>
    </row>
    <row r="475" ht="15.75" hidden="1" customHeight="1">
      <c r="B475" s="123"/>
      <c r="D475" s="123"/>
      <c r="F475" s="123"/>
      <c r="H475" s="123"/>
      <c r="J475" s="123"/>
      <c r="L475" s="123"/>
      <c r="N475" s="123"/>
    </row>
    <row r="476" ht="15.75" hidden="1" customHeight="1">
      <c r="B476" s="123"/>
      <c r="D476" s="123"/>
      <c r="F476" s="123"/>
      <c r="H476" s="123"/>
      <c r="J476" s="123"/>
      <c r="L476" s="123"/>
      <c r="N476" s="123"/>
    </row>
    <row r="477" ht="15.75" hidden="1" customHeight="1">
      <c r="B477" s="123"/>
      <c r="D477" s="123"/>
      <c r="F477" s="123"/>
      <c r="H477" s="123"/>
      <c r="J477" s="123"/>
      <c r="L477" s="123"/>
      <c r="N477" s="123"/>
    </row>
    <row r="478" ht="15.75" hidden="1" customHeight="1">
      <c r="B478" s="123"/>
      <c r="D478" s="123"/>
      <c r="F478" s="123"/>
      <c r="H478" s="123"/>
      <c r="J478" s="123"/>
      <c r="L478" s="123"/>
      <c r="N478" s="123"/>
    </row>
    <row r="479" ht="15.75" hidden="1" customHeight="1">
      <c r="B479" s="123"/>
      <c r="D479" s="123"/>
      <c r="F479" s="123"/>
      <c r="H479" s="123"/>
      <c r="J479" s="123"/>
      <c r="L479" s="123"/>
      <c r="N479" s="123"/>
    </row>
    <row r="480" ht="15.75" hidden="1" customHeight="1">
      <c r="B480" s="123"/>
      <c r="D480" s="123"/>
      <c r="F480" s="123"/>
      <c r="H480" s="123"/>
      <c r="J480" s="123"/>
      <c r="L480" s="123"/>
      <c r="N480" s="123"/>
    </row>
    <row r="481" ht="15.75" hidden="1" customHeight="1">
      <c r="B481" s="123"/>
      <c r="D481" s="123"/>
      <c r="F481" s="123"/>
      <c r="H481" s="123"/>
      <c r="J481" s="123"/>
      <c r="L481" s="123"/>
      <c r="N481" s="123"/>
    </row>
    <row r="482" ht="15.75" hidden="1" customHeight="1">
      <c r="B482" s="123"/>
      <c r="D482" s="123"/>
      <c r="F482" s="123"/>
      <c r="H482" s="123"/>
      <c r="J482" s="123"/>
      <c r="L482" s="123"/>
      <c r="N482" s="123"/>
    </row>
    <row r="483" ht="15.75" hidden="1" customHeight="1">
      <c r="B483" s="123"/>
      <c r="D483" s="123"/>
      <c r="F483" s="123"/>
      <c r="H483" s="123"/>
      <c r="J483" s="123"/>
      <c r="L483" s="123"/>
      <c r="N483" s="123"/>
    </row>
    <row r="484" ht="15.75" hidden="1" customHeight="1">
      <c r="B484" s="123"/>
      <c r="D484" s="123"/>
      <c r="F484" s="123"/>
      <c r="H484" s="123"/>
      <c r="J484" s="123"/>
      <c r="L484" s="123"/>
      <c r="N484" s="123"/>
    </row>
    <row r="485" ht="15.75" hidden="1" customHeight="1">
      <c r="B485" s="123"/>
      <c r="D485" s="123"/>
      <c r="F485" s="123"/>
      <c r="H485" s="123"/>
      <c r="J485" s="123"/>
      <c r="L485" s="123"/>
      <c r="N485" s="123"/>
    </row>
    <row r="486" ht="15.75" hidden="1" customHeight="1">
      <c r="B486" s="123"/>
      <c r="D486" s="123"/>
      <c r="F486" s="123"/>
      <c r="H486" s="123"/>
      <c r="J486" s="123"/>
      <c r="L486" s="123"/>
      <c r="N486" s="123"/>
    </row>
    <row r="487" ht="15.75" hidden="1" customHeight="1">
      <c r="B487" s="123"/>
      <c r="D487" s="123"/>
      <c r="F487" s="123"/>
      <c r="H487" s="123"/>
      <c r="J487" s="123"/>
      <c r="L487" s="123"/>
      <c r="N487" s="123"/>
    </row>
    <row r="488" ht="15.75" hidden="1" customHeight="1">
      <c r="B488" s="123"/>
      <c r="D488" s="123"/>
      <c r="F488" s="123"/>
      <c r="H488" s="123"/>
      <c r="J488" s="123"/>
      <c r="L488" s="123"/>
      <c r="N488" s="123"/>
    </row>
    <row r="489" ht="15.75" hidden="1" customHeight="1">
      <c r="B489" s="123"/>
      <c r="D489" s="123"/>
      <c r="F489" s="123"/>
      <c r="H489" s="123"/>
      <c r="J489" s="123"/>
      <c r="L489" s="123"/>
      <c r="N489" s="123"/>
    </row>
    <row r="490" ht="15.75" hidden="1" customHeight="1">
      <c r="B490" s="123"/>
      <c r="D490" s="123"/>
      <c r="F490" s="123"/>
      <c r="H490" s="123"/>
      <c r="J490" s="123"/>
      <c r="L490" s="123"/>
      <c r="N490" s="123"/>
    </row>
    <row r="491" ht="15.75" hidden="1" customHeight="1">
      <c r="B491" s="123"/>
      <c r="D491" s="123"/>
      <c r="F491" s="123"/>
      <c r="H491" s="123"/>
      <c r="J491" s="123"/>
      <c r="L491" s="123"/>
      <c r="N491" s="123"/>
    </row>
    <row r="492" ht="15.75" hidden="1" customHeight="1">
      <c r="B492" s="123"/>
      <c r="D492" s="123"/>
      <c r="F492" s="123"/>
      <c r="H492" s="123"/>
      <c r="J492" s="123"/>
      <c r="L492" s="123"/>
      <c r="N492" s="123"/>
    </row>
    <row r="493" ht="15.75" hidden="1" customHeight="1">
      <c r="B493" s="123"/>
      <c r="D493" s="123"/>
      <c r="F493" s="123"/>
      <c r="H493" s="123"/>
      <c r="J493" s="123"/>
      <c r="L493" s="123"/>
      <c r="N493" s="123"/>
    </row>
    <row r="494" ht="15.75" hidden="1" customHeight="1">
      <c r="B494" s="123"/>
      <c r="D494" s="123"/>
      <c r="F494" s="123"/>
      <c r="H494" s="123"/>
      <c r="J494" s="123"/>
      <c r="L494" s="123"/>
      <c r="N494" s="123"/>
    </row>
    <row r="495" ht="15.75" hidden="1" customHeight="1">
      <c r="B495" s="123"/>
      <c r="D495" s="123"/>
      <c r="F495" s="123"/>
      <c r="H495" s="123"/>
      <c r="J495" s="123"/>
      <c r="L495" s="123"/>
      <c r="N495" s="123"/>
    </row>
    <row r="496" ht="15.75" hidden="1" customHeight="1">
      <c r="B496" s="123"/>
      <c r="D496" s="123"/>
      <c r="F496" s="123"/>
      <c r="H496" s="123"/>
      <c r="J496" s="123"/>
      <c r="L496" s="123"/>
      <c r="N496" s="123"/>
    </row>
    <row r="497" ht="15.75" hidden="1" customHeight="1">
      <c r="B497" s="123"/>
      <c r="D497" s="123"/>
      <c r="F497" s="123"/>
      <c r="H497" s="123"/>
      <c r="J497" s="123"/>
      <c r="L497" s="123"/>
      <c r="N497" s="123"/>
    </row>
    <row r="498" ht="15.75" hidden="1" customHeight="1">
      <c r="B498" s="123"/>
      <c r="D498" s="123"/>
      <c r="F498" s="123"/>
      <c r="H498" s="123"/>
      <c r="J498" s="123"/>
      <c r="L498" s="123"/>
      <c r="N498" s="123"/>
    </row>
    <row r="499" ht="15.75" hidden="1" customHeight="1">
      <c r="B499" s="123"/>
      <c r="D499" s="123"/>
      <c r="F499" s="123"/>
      <c r="H499" s="123"/>
      <c r="J499" s="123"/>
      <c r="L499" s="123"/>
      <c r="N499" s="123"/>
    </row>
    <row r="500" ht="15.75" hidden="1" customHeight="1">
      <c r="B500" s="123"/>
      <c r="D500" s="123"/>
      <c r="F500" s="123"/>
      <c r="H500" s="123"/>
      <c r="J500" s="123"/>
      <c r="L500" s="123"/>
      <c r="N500" s="123"/>
    </row>
    <row r="501" ht="15.75" hidden="1" customHeight="1">
      <c r="B501" s="123"/>
      <c r="D501" s="123"/>
      <c r="F501" s="123"/>
      <c r="H501" s="123"/>
      <c r="J501" s="123"/>
      <c r="L501" s="123"/>
      <c r="N501" s="123"/>
    </row>
    <row r="502" ht="15.75" hidden="1" customHeight="1">
      <c r="B502" s="123"/>
      <c r="D502" s="123"/>
      <c r="F502" s="123"/>
      <c r="H502" s="123"/>
      <c r="J502" s="123"/>
      <c r="L502" s="123"/>
      <c r="N502" s="123"/>
    </row>
    <row r="503" ht="15.75" hidden="1" customHeight="1">
      <c r="B503" s="123"/>
      <c r="D503" s="123"/>
      <c r="F503" s="123"/>
      <c r="H503" s="123"/>
      <c r="J503" s="123"/>
      <c r="L503" s="123"/>
      <c r="N503" s="123"/>
    </row>
    <row r="504" ht="15.75" hidden="1" customHeight="1">
      <c r="B504" s="123"/>
      <c r="D504" s="123"/>
      <c r="F504" s="123"/>
      <c r="H504" s="123"/>
      <c r="J504" s="123"/>
      <c r="L504" s="123"/>
      <c r="N504" s="123"/>
    </row>
    <row r="505" ht="15.75" hidden="1" customHeight="1">
      <c r="B505" s="123"/>
      <c r="D505" s="123"/>
      <c r="F505" s="123"/>
      <c r="H505" s="123"/>
      <c r="J505" s="123"/>
      <c r="L505" s="123"/>
      <c r="N505" s="123"/>
    </row>
    <row r="506" ht="15.75" hidden="1" customHeight="1">
      <c r="B506" s="123"/>
      <c r="D506" s="123"/>
      <c r="F506" s="123"/>
      <c r="H506" s="123"/>
      <c r="J506" s="123"/>
      <c r="L506" s="123"/>
      <c r="N506" s="123"/>
    </row>
    <row r="507" ht="15.75" hidden="1" customHeight="1">
      <c r="B507" s="123"/>
      <c r="D507" s="123"/>
      <c r="F507" s="123"/>
      <c r="H507" s="123"/>
      <c r="J507" s="123"/>
      <c r="L507" s="123"/>
      <c r="N507" s="123"/>
    </row>
    <row r="508" ht="15.75" hidden="1" customHeight="1">
      <c r="B508" s="123"/>
      <c r="D508" s="123"/>
      <c r="F508" s="123"/>
      <c r="H508" s="123"/>
      <c r="J508" s="123"/>
      <c r="L508" s="123"/>
      <c r="N508" s="123"/>
    </row>
    <row r="509" ht="15.75" hidden="1" customHeight="1">
      <c r="B509" s="123"/>
      <c r="D509" s="123"/>
      <c r="F509" s="123"/>
      <c r="H509" s="123"/>
      <c r="J509" s="123"/>
      <c r="L509" s="123"/>
      <c r="N509" s="123"/>
    </row>
    <row r="510" ht="15.75" hidden="1" customHeight="1">
      <c r="B510" s="123"/>
      <c r="D510" s="123"/>
      <c r="F510" s="123"/>
      <c r="H510" s="123"/>
      <c r="J510" s="123"/>
      <c r="L510" s="123"/>
      <c r="N510" s="123"/>
    </row>
    <row r="511" ht="15.75" hidden="1" customHeight="1">
      <c r="B511" s="123"/>
      <c r="D511" s="123"/>
      <c r="F511" s="123"/>
      <c r="H511" s="123"/>
      <c r="J511" s="123"/>
      <c r="L511" s="123"/>
      <c r="N511" s="123"/>
    </row>
    <row r="512" ht="15.75" hidden="1" customHeight="1">
      <c r="B512" s="123"/>
      <c r="D512" s="123"/>
      <c r="F512" s="123"/>
      <c r="H512" s="123"/>
      <c r="J512" s="123"/>
      <c r="L512" s="123"/>
      <c r="N512" s="123"/>
    </row>
    <row r="513" ht="15.75" hidden="1" customHeight="1">
      <c r="B513" s="123"/>
      <c r="D513" s="123"/>
      <c r="F513" s="123"/>
      <c r="H513" s="123"/>
      <c r="J513" s="123"/>
      <c r="L513" s="123"/>
      <c r="N513" s="123"/>
    </row>
    <row r="514" ht="15.75" hidden="1" customHeight="1">
      <c r="B514" s="123"/>
      <c r="D514" s="123"/>
      <c r="F514" s="123"/>
      <c r="H514" s="123"/>
      <c r="J514" s="123"/>
      <c r="L514" s="123"/>
      <c r="N514" s="123"/>
    </row>
    <row r="515" ht="15.75" hidden="1" customHeight="1">
      <c r="B515" s="123"/>
      <c r="D515" s="123"/>
      <c r="F515" s="123"/>
      <c r="H515" s="123"/>
      <c r="J515" s="123"/>
      <c r="L515" s="123"/>
      <c r="N515" s="123"/>
    </row>
    <row r="516" ht="15.75" hidden="1" customHeight="1">
      <c r="B516" s="123"/>
      <c r="D516" s="123"/>
      <c r="F516" s="123"/>
      <c r="H516" s="123"/>
      <c r="J516" s="123"/>
      <c r="L516" s="123"/>
      <c r="N516" s="123"/>
    </row>
    <row r="517" ht="15.75" hidden="1" customHeight="1">
      <c r="B517" s="123"/>
      <c r="D517" s="123"/>
      <c r="F517" s="123"/>
      <c r="H517" s="123"/>
      <c r="J517" s="123"/>
      <c r="L517" s="123"/>
      <c r="N517" s="123"/>
    </row>
    <row r="518" ht="15.75" hidden="1" customHeight="1">
      <c r="B518" s="123"/>
      <c r="D518" s="123"/>
      <c r="F518" s="123"/>
      <c r="H518" s="123"/>
      <c r="J518" s="123"/>
      <c r="L518" s="123"/>
      <c r="N518" s="123"/>
    </row>
    <row r="519" ht="15.75" hidden="1" customHeight="1">
      <c r="B519" s="123"/>
      <c r="D519" s="123"/>
      <c r="F519" s="123"/>
      <c r="H519" s="123"/>
      <c r="J519" s="123"/>
      <c r="L519" s="123"/>
      <c r="N519" s="123"/>
    </row>
    <row r="520" ht="15.75" hidden="1" customHeight="1">
      <c r="B520" s="123"/>
      <c r="D520" s="123"/>
      <c r="F520" s="123"/>
      <c r="H520" s="123"/>
      <c r="J520" s="123"/>
      <c r="L520" s="123"/>
      <c r="N520" s="123"/>
    </row>
    <row r="521" ht="15.75" hidden="1" customHeight="1">
      <c r="B521" s="123"/>
      <c r="D521" s="123"/>
      <c r="F521" s="123"/>
      <c r="H521" s="123"/>
      <c r="J521" s="123"/>
      <c r="L521" s="123"/>
      <c r="N521" s="123"/>
    </row>
    <row r="522" ht="15.75" hidden="1" customHeight="1">
      <c r="B522" s="123"/>
      <c r="D522" s="123"/>
      <c r="F522" s="123"/>
      <c r="H522" s="123"/>
      <c r="J522" s="123"/>
      <c r="L522" s="123"/>
      <c r="N522" s="123"/>
    </row>
    <row r="523" ht="15.75" hidden="1" customHeight="1">
      <c r="B523" s="123"/>
      <c r="D523" s="123"/>
      <c r="F523" s="123"/>
      <c r="H523" s="123"/>
      <c r="J523" s="123"/>
      <c r="L523" s="123"/>
      <c r="N523" s="123"/>
    </row>
    <row r="524" ht="15.75" hidden="1" customHeight="1">
      <c r="B524" s="123"/>
      <c r="D524" s="123"/>
      <c r="F524" s="123"/>
      <c r="H524" s="123"/>
      <c r="J524" s="123"/>
      <c r="L524" s="123"/>
      <c r="N524" s="123"/>
    </row>
    <row r="525" ht="15.75" hidden="1" customHeight="1">
      <c r="B525" s="123"/>
      <c r="D525" s="123"/>
      <c r="F525" s="123"/>
      <c r="H525" s="123"/>
      <c r="J525" s="123"/>
      <c r="L525" s="123"/>
      <c r="N525" s="123"/>
    </row>
    <row r="526" ht="15.75" hidden="1" customHeight="1">
      <c r="B526" s="123"/>
      <c r="D526" s="123"/>
      <c r="F526" s="123"/>
      <c r="H526" s="123"/>
      <c r="J526" s="123"/>
      <c r="L526" s="123"/>
      <c r="N526" s="123"/>
    </row>
    <row r="527" ht="15.75" hidden="1" customHeight="1">
      <c r="B527" s="123"/>
      <c r="D527" s="123"/>
      <c r="F527" s="123"/>
      <c r="H527" s="123"/>
      <c r="J527" s="123"/>
      <c r="L527" s="123"/>
      <c r="N527" s="123"/>
    </row>
    <row r="528" ht="15.75" hidden="1" customHeight="1">
      <c r="B528" s="123"/>
      <c r="D528" s="123"/>
      <c r="F528" s="123"/>
      <c r="H528" s="123"/>
      <c r="J528" s="123"/>
      <c r="L528" s="123"/>
      <c r="N528" s="123"/>
    </row>
    <row r="529" ht="15.75" hidden="1" customHeight="1">
      <c r="B529" s="123"/>
      <c r="D529" s="123"/>
      <c r="F529" s="123"/>
      <c r="H529" s="123"/>
      <c r="J529" s="123"/>
      <c r="L529" s="123"/>
      <c r="N529" s="123"/>
    </row>
    <row r="530" ht="15.75" hidden="1" customHeight="1">
      <c r="B530" s="123"/>
      <c r="D530" s="123"/>
      <c r="F530" s="123"/>
      <c r="H530" s="123"/>
      <c r="J530" s="123"/>
      <c r="L530" s="123"/>
      <c r="N530" s="123"/>
    </row>
    <row r="531" ht="15.75" hidden="1" customHeight="1">
      <c r="B531" s="123"/>
      <c r="D531" s="123"/>
      <c r="F531" s="123"/>
      <c r="H531" s="123"/>
      <c r="J531" s="123"/>
      <c r="L531" s="123"/>
      <c r="N531" s="123"/>
    </row>
    <row r="532" ht="15.75" hidden="1" customHeight="1">
      <c r="B532" s="123"/>
      <c r="D532" s="123"/>
      <c r="F532" s="123"/>
      <c r="H532" s="123"/>
      <c r="J532" s="123"/>
      <c r="L532" s="123"/>
      <c r="N532" s="123"/>
    </row>
    <row r="533" ht="15.75" hidden="1" customHeight="1">
      <c r="B533" s="123"/>
      <c r="D533" s="123"/>
      <c r="F533" s="123"/>
      <c r="H533" s="123"/>
      <c r="J533" s="123"/>
      <c r="L533" s="123"/>
      <c r="N533" s="123"/>
    </row>
    <row r="534" ht="15.75" hidden="1" customHeight="1">
      <c r="B534" s="123"/>
      <c r="D534" s="123"/>
      <c r="F534" s="123"/>
      <c r="H534" s="123"/>
      <c r="J534" s="123"/>
      <c r="L534" s="123"/>
      <c r="N534" s="123"/>
    </row>
    <row r="535" ht="15.75" hidden="1" customHeight="1">
      <c r="B535" s="123"/>
      <c r="D535" s="123"/>
      <c r="F535" s="123"/>
      <c r="H535" s="123"/>
      <c r="J535" s="123"/>
      <c r="L535" s="123"/>
      <c r="N535" s="123"/>
    </row>
    <row r="536" ht="15.75" hidden="1" customHeight="1">
      <c r="B536" s="123"/>
      <c r="D536" s="123"/>
      <c r="F536" s="123"/>
      <c r="H536" s="123"/>
      <c r="J536" s="123"/>
      <c r="L536" s="123"/>
      <c r="N536" s="123"/>
    </row>
    <row r="537" ht="15.75" hidden="1" customHeight="1">
      <c r="B537" s="123"/>
      <c r="D537" s="123"/>
      <c r="F537" s="123"/>
      <c r="H537" s="123"/>
      <c r="J537" s="123"/>
      <c r="L537" s="123"/>
      <c r="N537" s="123"/>
    </row>
    <row r="538" ht="15.75" hidden="1" customHeight="1">
      <c r="B538" s="123"/>
      <c r="D538" s="123"/>
      <c r="F538" s="123"/>
      <c r="H538" s="123"/>
      <c r="J538" s="123"/>
      <c r="L538" s="123"/>
      <c r="N538" s="123"/>
    </row>
    <row r="539" ht="15.75" hidden="1" customHeight="1">
      <c r="B539" s="123"/>
      <c r="D539" s="123"/>
      <c r="F539" s="123"/>
      <c r="H539" s="123"/>
      <c r="J539" s="123"/>
      <c r="L539" s="123"/>
      <c r="N539" s="123"/>
    </row>
    <row r="540" ht="15.75" hidden="1" customHeight="1">
      <c r="B540" s="123"/>
      <c r="D540" s="123"/>
      <c r="F540" s="123"/>
      <c r="H540" s="123"/>
      <c r="J540" s="123"/>
      <c r="L540" s="123"/>
      <c r="N540" s="123"/>
    </row>
    <row r="541" ht="15.75" hidden="1" customHeight="1">
      <c r="B541" s="123"/>
      <c r="D541" s="123"/>
      <c r="F541" s="123"/>
      <c r="H541" s="123"/>
      <c r="J541" s="123"/>
      <c r="L541" s="123"/>
      <c r="N541" s="123"/>
    </row>
    <row r="542" ht="15.75" hidden="1" customHeight="1">
      <c r="B542" s="123"/>
      <c r="D542" s="123"/>
      <c r="F542" s="123"/>
      <c r="H542" s="123"/>
      <c r="J542" s="123"/>
      <c r="L542" s="123"/>
      <c r="N542" s="123"/>
    </row>
    <row r="543" ht="15.75" hidden="1" customHeight="1">
      <c r="B543" s="123"/>
      <c r="D543" s="123"/>
      <c r="F543" s="123"/>
      <c r="H543" s="123"/>
      <c r="J543" s="123"/>
      <c r="L543" s="123"/>
      <c r="N543" s="123"/>
    </row>
    <row r="544" ht="15.75" hidden="1" customHeight="1">
      <c r="B544" s="123"/>
      <c r="D544" s="123"/>
      <c r="F544" s="123"/>
      <c r="H544" s="123"/>
      <c r="J544" s="123"/>
      <c r="L544" s="123"/>
      <c r="N544" s="123"/>
    </row>
    <row r="545" ht="15.75" hidden="1" customHeight="1">
      <c r="B545" s="123"/>
      <c r="D545" s="123"/>
      <c r="F545" s="123"/>
      <c r="H545" s="123"/>
      <c r="J545" s="123"/>
      <c r="L545" s="123"/>
      <c r="N545" s="123"/>
    </row>
    <row r="546" ht="15.75" hidden="1" customHeight="1">
      <c r="B546" s="123"/>
      <c r="D546" s="123"/>
      <c r="F546" s="123"/>
      <c r="H546" s="123"/>
      <c r="J546" s="123"/>
      <c r="L546" s="123"/>
      <c r="N546" s="123"/>
    </row>
    <row r="547" ht="15.75" hidden="1" customHeight="1">
      <c r="B547" s="123"/>
      <c r="D547" s="123"/>
      <c r="F547" s="123"/>
      <c r="H547" s="123"/>
      <c r="J547" s="123"/>
      <c r="L547" s="123"/>
      <c r="N547" s="123"/>
    </row>
    <row r="548" ht="15.75" hidden="1" customHeight="1">
      <c r="B548" s="123"/>
      <c r="D548" s="123"/>
      <c r="F548" s="123"/>
      <c r="H548" s="123"/>
      <c r="J548" s="123"/>
      <c r="L548" s="123"/>
      <c r="N548" s="123"/>
    </row>
    <row r="549" ht="15.75" hidden="1" customHeight="1">
      <c r="B549" s="123"/>
      <c r="D549" s="123"/>
      <c r="F549" s="123"/>
      <c r="H549" s="123"/>
      <c r="J549" s="123"/>
      <c r="L549" s="123"/>
      <c r="N549" s="123"/>
    </row>
    <row r="550" ht="15.75" hidden="1" customHeight="1">
      <c r="B550" s="123"/>
      <c r="D550" s="123"/>
      <c r="F550" s="123"/>
      <c r="H550" s="123"/>
      <c r="J550" s="123"/>
      <c r="L550" s="123"/>
      <c r="N550" s="123"/>
    </row>
    <row r="551" ht="15.75" hidden="1" customHeight="1">
      <c r="B551" s="123"/>
      <c r="D551" s="123"/>
      <c r="F551" s="123"/>
      <c r="H551" s="123"/>
      <c r="J551" s="123"/>
      <c r="L551" s="123"/>
      <c r="N551" s="123"/>
    </row>
    <row r="552" ht="15.75" hidden="1" customHeight="1">
      <c r="B552" s="123"/>
      <c r="D552" s="123"/>
      <c r="F552" s="123"/>
      <c r="H552" s="123"/>
      <c r="J552" s="123"/>
      <c r="L552" s="123"/>
      <c r="N552" s="123"/>
    </row>
    <row r="553" ht="15.75" hidden="1" customHeight="1">
      <c r="B553" s="123"/>
      <c r="D553" s="123"/>
      <c r="F553" s="123"/>
      <c r="H553" s="123"/>
      <c r="J553" s="123"/>
      <c r="L553" s="123"/>
      <c r="N553" s="123"/>
    </row>
    <row r="554" ht="15.75" hidden="1" customHeight="1">
      <c r="B554" s="123"/>
      <c r="D554" s="123"/>
      <c r="F554" s="123"/>
      <c r="H554" s="123"/>
      <c r="J554" s="123"/>
      <c r="L554" s="123"/>
      <c r="N554" s="123"/>
    </row>
    <row r="555" ht="15.75" hidden="1" customHeight="1">
      <c r="B555" s="123"/>
      <c r="D555" s="123"/>
      <c r="F555" s="123"/>
      <c r="H555" s="123"/>
      <c r="J555" s="123"/>
      <c r="L555" s="123"/>
      <c r="N555" s="123"/>
    </row>
    <row r="556" ht="15.75" hidden="1" customHeight="1">
      <c r="B556" s="123"/>
      <c r="D556" s="123"/>
      <c r="F556" s="123"/>
      <c r="H556" s="123"/>
      <c r="J556" s="123"/>
      <c r="L556" s="123"/>
      <c r="N556" s="123"/>
    </row>
    <row r="557" ht="15.75" hidden="1" customHeight="1">
      <c r="B557" s="123"/>
      <c r="D557" s="123"/>
      <c r="F557" s="123"/>
      <c r="H557" s="123"/>
      <c r="J557" s="123"/>
      <c r="L557" s="123"/>
      <c r="N557" s="123"/>
    </row>
    <row r="558" ht="15.75" hidden="1" customHeight="1">
      <c r="B558" s="123"/>
      <c r="D558" s="123"/>
      <c r="F558" s="123"/>
      <c r="H558" s="123"/>
      <c r="J558" s="123"/>
      <c r="L558" s="123"/>
      <c r="N558" s="123"/>
    </row>
    <row r="559" ht="15.75" hidden="1" customHeight="1">
      <c r="B559" s="123"/>
      <c r="D559" s="123"/>
      <c r="F559" s="123"/>
      <c r="H559" s="123"/>
      <c r="J559" s="123"/>
      <c r="L559" s="123"/>
      <c r="N559" s="123"/>
    </row>
    <row r="560" ht="15.75" hidden="1" customHeight="1">
      <c r="B560" s="123"/>
      <c r="D560" s="123"/>
      <c r="F560" s="123"/>
      <c r="H560" s="123"/>
      <c r="J560" s="123"/>
      <c r="L560" s="123"/>
      <c r="N560" s="123"/>
    </row>
    <row r="561" ht="15.75" hidden="1" customHeight="1">
      <c r="B561" s="123"/>
      <c r="D561" s="123"/>
      <c r="F561" s="123"/>
      <c r="H561" s="123"/>
      <c r="J561" s="123"/>
      <c r="L561" s="123"/>
      <c r="N561" s="123"/>
    </row>
    <row r="562" ht="15.75" hidden="1" customHeight="1">
      <c r="B562" s="123"/>
      <c r="D562" s="123"/>
      <c r="F562" s="123"/>
      <c r="H562" s="123"/>
      <c r="J562" s="123"/>
      <c r="L562" s="123"/>
      <c r="N562" s="123"/>
    </row>
    <row r="563" ht="15.75" hidden="1" customHeight="1">
      <c r="B563" s="123"/>
      <c r="D563" s="123"/>
      <c r="F563" s="123"/>
      <c r="H563" s="123"/>
      <c r="J563" s="123"/>
      <c r="L563" s="123"/>
      <c r="N563" s="123"/>
    </row>
    <row r="564" ht="15.75" hidden="1" customHeight="1">
      <c r="B564" s="123"/>
      <c r="D564" s="123"/>
      <c r="F564" s="123"/>
      <c r="H564" s="123"/>
      <c r="J564" s="123"/>
      <c r="L564" s="123"/>
      <c r="N564" s="123"/>
    </row>
    <row r="565" ht="15.75" hidden="1" customHeight="1">
      <c r="B565" s="123"/>
      <c r="D565" s="123"/>
      <c r="F565" s="123"/>
      <c r="H565" s="123"/>
      <c r="J565" s="123"/>
      <c r="L565" s="123"/>
      <c r="N565" s="123"/>
    </row>
    <row r="566" ht="15.75" hidden="1" customHeight="1">
      <c r="B566" s="123"/>
      <c r="D566" s="123"/>
      <c r="F566" s="123"/>
      <c r="H566" s="123"/>
      <c r="J566" s="123"/>
      <c r="L566" s="123"/>
      <c r="N566" s="123"/>
    </row>
    <row r="567" ht="15.75" hidden="1" customHeight="1">
      <c r="B567" s="123"/>
      <c r="D567" s="123"/>
      <c r="F567" s="123"/>
      <c r="H567" s="123"/>
      <c r="J567" s="123"/>
      <c r="L567" s="123"/>
      <c r="N567" s="123"/>
    </row>
    <row r="568" ht="15.75" hidden="1" customHeight="1">
      <c r="B568" s="123"/>
      <c r="D568" s="123"/>
      <c r="F568" s="123"/>
      <c r="H568" s="123"/>
      <c r="J568" s="123"/>
      <c r="L568" s="123"/>
      <c r="N568" s="123"/>
    </row>
    <row r="569" ht="15.75" hidden="1" customHeight="1">
      <c r="B569" s="123"/>
      <c r="D569" s="123"/>
      <c r="F569" s="123"/>
      <c r="H569" s="123"/>
      <c r="J569" s="123"/>
      <c r="L569" s="123"/>
      <c r="N569" s="123"/>
    </row>
    <row r="570" ht="15.75" hidden="1" customHeight="1">
      <c r="B570" s="123"/>
      <c r="D570" s="123"/>
      <c r="F570" s="123"/>
      <c r="H570" s="123"/>
      <c r="J570" s="123"/>
      <c r="L570" s="123"/>
      <c r="N570" s="123"/>
    </row>
    <row r="571" ht="15.75" hidden="1" customHeight="1">
      <c r="B571" s="123"/>
      <c r="D571" s="123"/>
      <c r="F571" s="123"/>
      <c r="H571" s="123"/>
      <c r="J571" s="123"/>
      <c r="L571" s="123"/>
      <c r="N571" s="123"/>
    </row>
    <row r="572" ht="15.75" hidden="1" customHeight="1">
      <c r="B572" s="123"/>
      <c r="D572" s="123"/>
      <c r="F572" s="123"/>
      <c r="H572" s="123"/>
      <c r="J572" s="123"/>
      <c r="L572" s="123"/>
      <c r="N572" s="123"/>
    </row>
    <row r="573" ht="15.75" hidden="1" customHeight="1">
      <c r="B573" s="123"/>
      <c r="D573" s="123"/>
      <c r="F573" s="123"/>
      <c r="H573" s="123"/>
      <c r="J573" s="123"/>
      <c r="L573" s="123"/>
      <c r="N573" s="123"/>
    </row>
    <row r="574" ht="15.75" hidden="1" customHeight="1">
      <c r="B574" s="123"/>
      <c r="D574" s="123"/>
      <c r="F574" s="123"/>
      <c r="H574" s="123"/>
      <c r="J574" s="123"/>
      <c r="L574" s="123"/>
      <c r="N574" s="123"/>
    </row>
    <row r="575" ht="15.75" hidden="1" customHeight="1">
      <c r="B575" s="123"/>
      <c r="D575" s="123"/>
      <c r="F575" s="123"/>
      <c r="H575" s="123"/>
      <c r="J575" s="123"/>
      <c r="L575" s="123"/>
      <c r="N575" s="123"/>
    </row>
    <row r="576" ht="15.75" hidden="1" customHeight="1">
      <c r="B576" s="123"/>
      <c r="D576" s="123"/>
      <c r="F576" s="123"/>
      <c r="H576" s="123"/>
      <c r="J576" s="123"/>
      <c r="L576" s="123"/>
      <c r="N576" s="123"/>
    </row>
    <row r="577" ht="15.75" hidden="1" customHeight="1">
      <c r="B577" s="123"/>
      <c r="D577" s="123"/>
      <c r="F577" s="123"/>
      <c r="H577" s="123"/>
      <c r="J577" s="123"/>
      <c r="L577" s="123"/>
      <c r="N577" s="123"/>
    </row>
    <row r="578" ht="15.75" hidden="1" customHeight="1">
      <c r="B578" s="123"/>
      <c r="D578" s="123"/>
      <c r="F578" s="123"/>
      <c r="H578" s="123"/>
      <c r="J578" s="123"/>
      <c r="L578" s="123"/>
      <c r="N578" s="123"/>
    </row>
    <row r="579" ht="15.75" hidden="1" customHeight="1">
      <c r="B579" s="123"/>
      <c r="D579" s="123"/>
      <c r="F579" s="123"/>
      <c r="H579" s="123"/>
      <c r="J579" s="123"/>
      <c r="L579" s="123"/>
      <c r="N579" s="123"/>
    </row>
    <row r="580" ht="15.75" hidden="1" customHeight="1">
      <c r="B580" s="123"/>
      <c r="D580" s="123"/>
      <c r="F580" s="123"/>
      <c r="H580" s="123"/>
      <c r="J580" s="123"/>
      <c r="L580" s="123"/>
      <c r="N580" s="123"/>
    </row>
    <row r="581" ht="15.75" hidden="1" customHeight="1">
      <c r="B581" s="123"/>
      <c r="D581" s="123"/>
      <c r="F581" s="123"/>
      <c r="H581" s="123"/>
      <c r="J581" s="123"/>
      <c r="L581" s="123"/>
      <c r="N581" s="123"/>
    </row>
    <row r="582" ht="15.75" hidden="1" customHeight="1">
      <c r="B582" s="123"/>
      <c r="D582" s="123"/>
      <c r="F582" s="123"/>
      <c r="H582" s="123"/>
      <c r="J582" s="123"/>
      <c r="L582" s="123"/>
      <c r="N582" s="123"/>
    </row>
    <row r="583" ht="15.75" hidden="1" customHeight="1">
      <c r="B583" s="123"/>
      <c r="D583" s="123"/>
      <c r="F583" s="123"/>
      <c r="H583" s="123"/>
      <c r="J583" s="123"/>
      <c r="L583" s="123"/>
      <c r="N583" s="123"/>
    </row>
    <row r="584" ht="15.75" hidden="1" customHeight="1">
      <c r="B584" s="123"/>
      <c r="D584" s="123"/>
      <c r="F584" s="123"/>
      <c r="H584" s="123"/>
      <c r="J584" s="123"/>
      <c r="L584" s="123"/>
      <c r="N584" s="123"/>
    </row>
    <row r="585" ht="15.75" hidden="1" customHeight="1">
      <c r="B585" s="123"/>
      <c r="D585" s="123"/>
      <c r="F585" s="123"/>
      <c r="H585" s="123"/>
      <c r="J585" s="123"/>
      <c r="L585" s="123"/>
      <c r="N585" s="123"/>
    </row>
    <row r="586" ht="15.75" hidden="1" customHeight="1">
      <c r="B586" s="123"/>
      <c r="D586" s="123"/>
      <c r="F586" s="123"/>
      <c r="H586" s="123"/>
      <c r="J586" s="123"/>
      <c r="L586" s="123"/>
      <c r="N586" s="123"/>
    </row>
    <row r="587" ht="15.75" hidden="1" customHeight="1">
      <c r="B587" s="123"/>
      <c r="D587" s="123"/>
      <c r="F587" s="123"/>
      <c r="H587" s="123"/>
      <c r="J587" s="123"/>
      <c r="L587" s="123"/>
      <c r="N587" s="123"/>
    </row>
    <row r="588" ht="15.75" hidden="1" customHeight="1">
      <c r="B588" s="123"/>
      <c r="D588" s="123"/>
      <c r="F588" s="123"/>
      <c r="H588" s="123"/>
      <c r="J588" s="123"/>
      <c r="L588" s="123"/>
      <c r="N588" s="123"/>
    </row>
    <row r="589" ht="15.75" hidden="1" customHeight="1">
      <c r="B589" s="123"/>
      <c r="D589" s="123"/>
      <c r="F589" s="123"/>
      <c r="H589" s="123"/>
      <c r="J589" s="123"/>
      <c r="L589" s="123"/>
      <c r="N589" s="123"/>
    </row>
    <row r="590" ht="15.75" hidden="1" customHeight="1">
      <c r="B590" s="123"/>
      <c r="D590" s="123"/>
      <c r="F590" s="123"/>
      <c r="H590" s="123"/>
      <c r="J590" s="123"/>
      <c r="L590" s="123"/>
      <c r="N590" s="123"/>
    </row>
    <row r="591" ht="15.75" hidden="1" customHeight="1">
      <c r="B591" s="123"/>
      <c r="D591" s="123"/>
      <c r="F591" s="123"/>
      <c r="H591" s="123"/>
      <c r="J591" s="123"/>
      <c r="L591" s="123"/>
      <c r="N591" s="123"/>
    </row>
    <row r="592" ht="15.75" hidden="1" customHeight="1">
      <c r="B592" s="123"/>
      <c r="D592" s="123"/>
      <c r="F592" s="123"/>
      <c r="H592" s="123"/>
      <c r="J592" s="123"/>
      <c r="L592" s="123"/>
      <c r="N592" s="123"/>
    </row>
    <row r="593" ht="15.75" hidden="1" customHeight="1">
      <c r="B593" s="123"/>
      <c r="D593" s="123"/>
      <c r="F593" s="123"/>
      <c r="H593" s="123"/>
      <c r="J593" s="123"/>
      <c r="L593" s="123"/>
      <c r="N593" s="123"/>
    </row>
    <row r="594" ht="15.75" hidden="1" customHeight="1">
      <c r="B594" s="123"/>
      <c r="D594" s="123"/>
      <c r="F594" s="123"/>
      <c r="H594" s="123"/>
      <c r="J594" s="123"/>
      <c r="L594" s="123"/>
      <c r="N594" s="123"/>
    </row>
    <row r="595" ht="15.75" hidden="1" customHeight="1">
      <c r="B595" s="123"/>
      <c r="D595" s="123"/>
      <c r="F595" s="123"/>
      <c r="H595" s="123"/>
      <c r="J595" s="123"/>
      <c r="L595" s="123"/>
      <c r="N595" s="123"/>
    </row>
    <row r="596" ht="15.75" hidden="1" customHeight="1">
      <c r="B596" s="123"/>
      <c r="D596" s="123"/>
      <c r="F596" s="123"/>
      <c r="H596" s="123"/>
      <c r="J596" s="123"/>
      <c r="L596" s="123"/>
      <c r="N596" s="123"/>
    </row>
    <row r="597" ht="15.75" hidden="1" customHeight="1">
      <c r="B597" s="123"/>
      <c r="D597" s="123"/>
      <c r="F597" s="123"/>
      <c r="H597" s="123"/>
      <c r="J597" s="123"/>
      <c r="L597" s="123"/>
      <c r="N597" s="123"/>
    </row>
    <row r="598" ht="15.75" hidden="1" customHeight="1">
      <c r="B598" s="123"/>
      <c r="D598" s="123"/>
      <c r="F598" s="123"/>
      <c r="H598" s="123"/>
      <c r="J598" s="123"/>
      <c r="L598" s="123"/>
      <c r="N598" s="123"/>
    </row>
    <row r="599" ht="15.75" hidden="1" customHeight="1">
      <c r="B599" s="123"/>
      <c r="D599" s="123"/>
      <c r="F599" s="123"/>
      <c r="H599" s="123"/>
      <c r="J599" s="123"/>
      <c r="L599" s="123"/>
      <c r="N599" s="123"/>
    </row>
    <row r="600" ht="15.75" hidden="1" customHeight="1">
      <c r="B600" s="123"/>
      <c r="D600" s="123"/>
      <c r="F600" s="123"/>
      <c r="H600" s="123"/>
      <c r="J600" s="123"/>
      <c r="L600" s="123"/>
      <c r="N600" s="123"/>
    </row>
    <row r="601" ht="15.75" hidden="1" customHeight="1">
      <c r="B601" s="123"/>
      <c r="D601" s="123"/>
      <c r="F601" s="123"/>
      <c r="H601" s="123"/>
      <c r="J601" s="123"/>
      <c r="L601" s="123"/>
      <c r="N601" s="123"/>
    </row>
    <row r="602" ht="15.75" hidden="1" customHeight="1">
      <c r="B602" s="123"/>
      <c r="D602" s="123"/>
      <c r="F602" s="123"/>
      <c r="H602" s="123"/>
      <c r="J602" s="123"/>
      <c r="L602" s="123"/>
      <c r="N602" s="123"/>
    </row>
    <row r="603" ht="15.75" hidden="1" customHeight="1">
      <c r="B603" s="123"/>
      <c r="D603" s="123"/>
      <c r="F603" s="123"/>
      <c r="H603" s="123"/>
      <c r="J603" s="123"/>
      <c r="L603" s="123"/>
      <c r="N603" s="123"/>
    </row>
    <row r="604" ht="15.75" hidden="1" customHeight="1">
      <c r="B604" s="123"/>
      <c r="D604" s="123"/>
      <c r="F604" s="123"/>
      <c r="H604" s="123"/>
      <c r="J604" s="123"/>
      <c r="L604" s="123"/>
      <c r="N604" s="123"/>
    </row>
    <row r="605" ht="15.75" hidden="1" customHeight="1">
      <c r="B605" s="123"/>
      <c r="D605" s="123"/>
      <c r="F605" s="123"/>
      <c r="H605" s="123"/>
      <c r="J605" s="123"/>
      <c r="L605" s="123"/>
      <c r="N605" s="123"/>
    </row>
    <row r="606" ht="15.75" hidden="1" customHeight="1">
      <c r="B606" s="123"/>
      <c r="D606" s="123"/>
      <c r="F606" s="123"/>
      <c r="H606" s="123"/>
      <c r="J606" s="123"/>
      <c r="L606" s="123"/>
      <c r="N606" s="123"/>
    </row>
    <row r="607" ht="15.75" hidden="1" customHeight="1">
      <c r="B607" s="123"/>
      <c r="D607" s="123"/>
      <c r="F607" s="123"/>
      <c r="H607" s="123"/>
      <c r="J607" s="123"/>
      <c r="L607" s="123"/>
      <c r="N607" s="123"/>
    </row>
    <row r="608" ht="15.75" hidden="1" customHeight="1">
      <c r="B608" s="123"/>
      <c r="D608" s="123"/>
      <c r="F608" s="123"/>
      <c r="H608" s="123"/>
      <c r="J608" s="123"/>
      <c r="L608" s="123"/>
      <c r="N608" s="123"/>
    </row>
    <row r="609" ht="15.75" hidden="1" customHeight="1">
      <c r="B609" s="123"/>
      <c r="D609" s="123"/>
      <c r="F609" s="123"/>
      <c r="H609" s="123"/>
      <c r="J609" s="123"/>
      <c r="L609" s="123"/>
      <c r="N609" s="123"/>
    </row>
    <row r="610" ht="15.75" hidden="1" customHeight="1">
      <c r="B610" s="123"/>
      <c r="D610" s="123"/>
      <c r="F610" s="123"/>
      <c r="H610" s="123"/>
      <c r="J610" s="123"/>
      <c r="L610" s="123"/>
      <c r="N610" s="123"/>
    </row>
    <row r="611" ht="15.75" hidden="1" customHeight="1">
      <c r="B611" s="123"/>
      <c r="D611" s="123"/>
      <c r="F611" s="123"/>
      <c r="H611" s="123"/>
      <c r="J611" s="123"/>
      <c r="L611" s="123"/>
      <c r="N611" s="123"/>
    </row>
    <row r="612" ht="15.75" hidden="1" customHeight="1">
      <c r="B612" s="123"/>
      <c r="D612" s="123"/>
      <c r="F612" s="123"/>
      <c r="H612" s="123"/>
      <c r="J612" s="123"/>
      <c r="L612" s="123"/>
      <c r="N612" s="123"/>
    </row>
    <row r="613" ht="15.75" hidden="1" customHeight="1">
      <c r="B613" s="123"/>
      <c r="D613" s="123"/>
      <c r="F613" s="123"/>
      <c r="H613" s="123"/>
      <c r="J613" s="123"/>
      <c r="L613" s="123"/>
      <c r="N613" s="123"/>
    </row>
    <row r="614" ht="15.75" hidden="1" customHeight="1">
      <c r="B614" s="123"/>
      <c r="D614" s="123"/>
      <c r="F614" s="123"/>
      <c r="H614" s="123"/>
      <c r="J614" s="123"/>
      <c r="L614" s="123"/>
      <c r="N614" s="123"/>
    </row>
    <row r="615" ht="15.75" hidden="1" customHeight="1">
      <c r="B615" s="123"/>
      <c r="D615" s="123"/>
      <c r="F615" s="123"/>
      <c r="H615" s="123"/>
      <c r="J615" s="123"/>
      <c r="L615" s="123"/>
      <c r="N615" s="123"/>
    </row>
    <row r="616" ht="15.75" hidden="1" customHeight="1">
      <c r="B616" s="123"/>
      <c r="D616" s="123"/>
      <c r="F616" s="123"/>
      <c r="H616" s="123"/>
      <c r="J616" s="123"/>
      <c r="L616" s="123"/>
      <c r="N616" s="123"/>
    </row>
    <row r="617" ht="15.75" hidden="1" customHeight="1">
      <c r="B617" s="123"/>
      <c r="D617" s="123"/>
      <c r="F617" s="123"/>
      <c r="H617" s="123"/>
      <c r="J617" s="123"/>
      <c r="L617" s="123"/>
      <c r="N617" s="123"/>
    </row>
    <row r="618" ht="15.75" hidden="1" customHeight="1">
      <c r="B618" s="123"/>
      <c r="D618" s="123"/>
      <c r="F618" s="123"/>
      <c r="H618" s="123"/>
      <c r="J618" s="123"/>
      <c r="L618" s="123"/>
      <c r="N618" s="123"/>
    </row>
    <row r="619" ht="15.75" hidden="1" customHeight="1">
      <c r="B619" s="123"/>
      <c r="D619" s="123"/>
      <c r="F619" s="123"/>
      <c r="H619" s="123"/>
      <c r="J619" s="123"/>
      <c r="L619" s="123"/>
      <c r="N619" s="123"/>
    </row>
    <row r="620" ht="15.75" hidden="1" customHeight="1">
      <c r="B620" s="123"/>
      <c r="D620" s="123"/>
      <c r="F620" s="123"/>
      <c r="H620" s="123"/>
      <c r="J620" s="123"/>
      <c r="L620" s="123"/>
      <c r="N620" s="123"/>
    </row>
    <row r="621" ht="15.75" hidden="1" customHeight="1">
      <c r="B621" s="123"/>
      <c r="D621" s="123"/>
      <c r="F621" s="123"/>
      <c r="H621" s="123"/>
      <c r="J621" s="123"/>
      <c r="L621" s="123"/>
      <c r="N621" s="123"/>
    </row>
    <row r="622" ht="15.75" hidden="1" customHeight="1">
      <c r="B622" s="123"/>
      <c r="D622" s="123"/>
      <c r="F622" s="123"/>
      <c r="H622" s="123"/>
      <c r="J622" s="123"/>
      <c r="L622" s="123"/>
      <c r="N622" s="123"/>
    </row>
    <row r="623" ht="15.75" hidden="1" customHeight="1">
      <c r="B623" s="123"/>
      <c r="D623" s="123"/>
      <c r="F623" s="123"/>
      <c r="H623" s="123"/>
      <c r="J623" s="123"/>
      <c r="L623" s="123"/>
      <c r="N623" s="123"/>
    </row>
    <row r="624" ht="15.75" hidden="1" customHeight="1">
      <c r="B624" s="123"/>
      <c r="D624" s="123"/>
      <c r="F624" s="123"/>
      <c r="H624" s="123"/>
      <c r="J624" s="123"/>
      <c r="L624" s="123"/>
      <c r="N624" s="123"/>
    </row>
    <row r="625" ht="15.75" hidden="1" customHeight="1">
      <c r="B625" s="123"/>
      <c r="D625" s="123"/>
      <c r="F625" s="123"/>
      <c r="H625" s="123"/>
      <c r="J625" s="123"/>
      <c r="L625" s="123"/>
      <c r="N625" s="123"/>
    </row>
    <row r="626" ht="15.75" hidden="1" customHeight="1">
      <c r="B626" s="123"/>
      <c r="D626" s="123"/>
      <c r="F626" s="123"/>
      <c r="H626" s="123"/>
      <c r="J626" s="123"/>
      <c r="L626" s="123"/>
      <c r="N626" s="123"/>
    </row>
    <row r="627" ht="15.75" hidden="1" customHeight="1">
      <c r="B627" s="123"/>
      <c r="D627" s="123"/>
      <c r="F627" s="123"/>
      <c r="H627" s="123"/>
      <c r="J627" s="123"/>
      <c r="L627" s="123"/>
      <c r="N627" s="123"/>
    </row>
    <row r="628" ht="15.75" hidden="1" customHeight="1">
      <c r="B628" s="123"/>
      <c r="D628" s="123"/>
      <c r="F628" s="123"/>
      <c r="H628" s="123"/>
      <c r="J628" s="123"/>
      <c r="L628" s="123"/>
      <c r="N628" s="123"/>
    </row>
    <row r="629" ht="15.75" hidden="1" customHeight="1">
      <c r="B629" s="123"/>
      <c r="D629" s="123"/>
      <c r="F629" s="123"/>
      <c r="H629" s="123"/>
      <c r="J629" s="123"/>
      <c r="L629" s="123"/>
      <c r="N629" s="123"/>
    </row>
    <row r="630" ht="15.75" hidden="1" customHeight="1">
      <c r="B630" s="123"/>
      <c r="D630" s="123"/>
      <c r="F630" s="123"/>
      <c r="H630" s="123"/>
      <c r="J630" s="123"/>
      <c r="L630" s="123"/>
      <c r="N630" s="123"/>
    </row>
    <row r="631" ht="15.75" hidden="1" customHeight="1">
      <c r="B631" s="123"/>
      <c r="D631" s="123"/>
      <c r="F631" s="123"/>
      <c r="H631" s="123"/>
      <c r="J631" s="123"/>
      <c r="L631" s="123"/>
      <c r="N631" s="123"/>
    </row>
    <row r="632" ht="15.75" hidden="1" customHeight="1">
      <c r="B632" s="123"/>
      <c r="D632" s="123"/>
      <c r="F632" s="123"/>
      <c r="H632" s="123"/>
      <c r="J632" s="123"/>
      <c r="L632" s="123"/>
      <c r="N632" s="123"/>
    </row>
    <row r="633" ht="15.75" hidden="1" customHeight="1">
      <c r="B633" s="123"/>
      <c r="D633" s="123"/>
      <c r="F633" s="123"/>
      <c r="H633" s="123"/>
      <c r="J633" s="123"/>
      <c r="L633" s="123"/>
      <c r="N633" s="123"/>
    </row>
    <row r="634" ht="15.75" hidden="1" customHeight="1">
      <c r="B634" s="123"/>
      <c r="D634" s="123"/>
      <c r="F634" s="123"/>
      <c r="H634" s="123"/>
      <c r="J634" s="123"/>
      <c r="L634" s="123"/>
      <c r="N634" s="123"/>
    </row>
    <row r="635" ht="15.75" hidden="1" customHeight="1">
      <c r="B635" s="123"/>
      <c r="D635" s="123"/>
      <c r="F635" s="123"/>
      <c r="H635" s="123"/>
      <c r="J635" s="123"/>
      <c r="L635" s="123"/>
      <c r="N635" s="123"/>
    </row>
    <row r="636" ht="15.75" hidden="1" customHeight="1">
      <c r="B636" s="123"/>
      <c r="D636" s="123"/>
      <c r="F636" s="123"/>
      <c r="H636" s="123"/>
      <c r="J636" s="123"/>
      <c r="L636" s="123"/>
      <c r="N636" s="123"/>
    </row>
    <row r="637" ht="15.75" hidden="1" customHeight="1">
      <c r="B637" s="123"/>
      <c r="D637" s="123"/>
      <c r="F637" s="123"/>
      <c r="H637" s="123"/>
      <c r="J637" s="123"/>
      <c r="L637" s="123"/>
      <c r="N637" s="123"/>
    </row>
    <row r="638" ht="15.75" hidden="1" customHeight="1">
      <c r="B638" s="123"/>
      <c r="D638" s="123"/>
      <c r="F638" s="123"/>
      <c r="H638" s="123"/>
      <c r="J638" s="123"/>
      <c r="L638" s="123"/>
      <c r="N638" s="123"/>
    </row>
    <row r="639" ht="15.75" hidden="1" customHeight="1">
      <c r="B639" s="123"/>
      <c r="D639" s="123"/>
      <c r="F639" s="123"/>
      <c r="H639" s="123"/>
      <c r="J639" s="123"/>
      <c r="L639" s="123"/>
      <c r="N639" s="123"/>
    </row>
    <row r="640" ht="15.75" hidden="1" customHeight="1">
      <c r="B640" s="123"/>
      <c r="D640" s="123"/>
      <c r="F640" s="123"/>
      <c r="H640" s="123"/>
      <c r="J640" s="123"/>
      <c r="L640" s="123"/>
      <c r="N640" s="123"/>
    </row>
    <row r="641" ht="15.75" hidden="1" customHeight="1">
      <c r="B641" s="123"/>
      <c r="D641" s="123"/>
      <c r="F641" s="123"/>
      <c r="H641" s="123"/>
      <c r="J641" s="123"/>
      <c r="L641" s="123"/>
      <c r="N641" s="123"/>
    </row>
    <row r="642" ht="15.75" hidden="1" customHeight="1">
      <c r="B642" s="123"/>
      <c r="D642" s="123"/>
      <c r="F642" s="123"/>
      <c r="H642" s="123"/>
      <c r="J642" s="123"/>
      <c r="L642" s="123"/>
      <c r="N642" s="123"/>
    </row>
    <row r="643" ht="15.75" hidden="1" customHeight="1">
      <c r="B643" s="123"/>
      <c r="D643" s="123"/>
      <c r="F643" s="123"/>
      <c r="H643" s="123"/>
      <c r="J643" s="123"/>
      <c r="L643" s="123"/>
      <c r="N643" s="123"/>
    </row>
    <row r="644" ht="15.75" hidden="1" customHeight="1">
      <c r="B644" s="123"/>
      <c r="D644" s="123"/>
      <c r="F644" s="123"/>
      <c r="H644" s="123"/>
      <c r="J644" s="123"/>
      <c r="L644" s="123"/>
      <c r="N644" s="123"/>
    </row>
    <row r="645" ht="15.75" hidden="1" customHeight="1">
      <c r="B645" s="123"/>
      <c r="D645" s="123"/>
      <c r="F645" s="123"/>
      <c r="H645" s="123"/>
      <c r="J645" s="123"/>
      <c r="L645" s="123"/>
      <c r="N645" s="123"/>
    </row>
    <row r="646" ht="15.75" hidden="1" customHeight="1">
      <c r="B646" s="123"/>
      <c r="D646" s="123"/>
      <c r="F646" s="123"/>
      <c r="H646" s="123"/>
      <c r="J646" s="123"/>
      <c r="L646" s="123"/>
      <c r="N646" s="123"/>
    </row>
    <row r="647" ht="15.75" hidden="1" customHeight="1">
      <c r="B647" s="123"/>
      <c r="D647" s="123"/>
      <c r="F647" s="123"/>
      <c r="H647" s="123"/>
      <c r="J647" s="123"/>
      <c r="L647" s="123"/>
      <c r="N647" s="123"/>
    </row>
    <row r="648" ht="15.75" hidden="1" customHeight="1">
      <c r="B648" s="123"/>
      <c r="D648" s="123"/>
      <c r="F648" s="123"/>
      <c r="H648" s="123"/>
      <c r="J648" s="123"/>
      <c r="L648" s="123"/>
      <c r="N648" s="123"/>
    </row>
    <row r="649" ht="15.75" hidden="1" customHeight="1">
      <c r="B649" s="123"/>
      <c r="D649" s="123"/>
      <c r="F649" s="123"/>
      <c r="H649" s="123"/>
      <c r="J649" s="123"/>
      <c r="L649" s="123"/>
      <c r="N649" s="123"/>
    </row>
    <row r="650" ht="15.75" hidden="1" customHeight="1">
      <c r="B650" s="123"/>
      <c r="D650" s="123"/>
      <c r="F650" s="123"/>
      <c r="H650" s="123"/>
      <c r="J650" s="123"/>
      <c r="L650" s="123"/>
      <c r="N650" s="123"/>
    </row>
    <row r="651" ht="15.75" hidden="1" customHeight="1">
      <c r="B651" s="123"/>
      <c r="D651" s="123"/>
      <c r="F651" s="123"/>
      <c r="H651" s="123"/>
      <c r="J651" s="123"/>
      <c r="L651" s="123"/>
      <c r="N651" s="123"/>
    </row>
    <row r="652" ht="15.75" hidden="1" customHeight="1">
      <c r="B652" s="123"/>
      <c r="D652" s="123"/>
      <c r="F652" s="123"/>
      <c r="H652" s="123"/>
      <c r="J652" s="123"/>
      <c r="L652" s="123"/>
      <c r="N652" s="123"/>
    </row>
    <row r="653" ht="15.75" hidden="1" customHeight="1">
      <c r="B653" s="123"/>
      <c r="D653" s="123"/>
      <c r="F653" s="123"/>
      <c r="H653" s="123"/>
      <c r="J653" s="123"/>
      <c r="L653" s="123"/>
      <c r="N653" s="123"/>
    </row>
    <row r="654" ht="15.75" hidden="1" customHeight="1">
      <c r="B654" s="123"/>
      <c r="D654" s="123"/>
      <c r="F654" s="123"/>
      <c r="H654" s="123"/>
      <c r="J654" s="123"/>
      <c r="L654" s="123"/>
      <c r="N654" s="123"/>
    </row>
    <row r="655" ht="15.75" hidden="1" customHeight="1">
      <c r="B655" s="123"/>
      <c r="D655" s="123"/>
      <c r="F655" s="123"/>
      <c r="H655" s="123"/>
      <c r="J655" s="123"/>
      <c r="L655" s="123"/>
      <c r="N655" s="123"/>
    </row>
    <row r="656" ht="15.75" hidden="1" customHeight="1">
      <c r="B656" s="123"/>
      <c r="D656" s="123"/>
      <c r="F656" s="123"/>
      <c r="H656" s="123"/>
      <c r="J656" s="123"/>
      <c r="L656" s="123"/>
      <c r="N656" s="123"/>
    </row>
    <row r="657" ht="15.75" hidden="1" customHeight="1">
      <c r="B657" s="123"/>
      <c r="D657" s="123"/>
      <c r="F657" s="123"/>
      <c r="H657" s="123"/>
      <c r="J657" s="123"/>
      <c r="L657" s="123"/>
      <c r="N657" s="123"/>
    </row>
    <row r="658" ht="15.75" hidden="1" customHeight="1">
      <c r="B658" s="123"/>
      <c r="D658" s="123"/>
      <c r="F658" s="123"/>
      <c r="H658" s="123"/>
      <c r="J658" s="123"/>
      <c r="L658" s="123"/>
      <c r="N658" s="123"/>
    </row>
    <row r="659" ht="15.75" hidden="1" customHeight="1">
      <c r="B659" s="123"/>
      <c r="D659" s="123"/>
      <c r="F659" s="123"/>
      <c r="H659" s="123"/>
      <c r="J659" s="123"/>
      <c r="L659" s="123"/>
      <c r="N659" s="123"/>
    </row>
    <row r="660" ht="15.75" hidden="1" customHeight="1">
      <c r="B660" s="123"/>
      <c r="D660" s="123"/>
      <c r="F660" s="123"/>
      <c r="H660" s="123"/>
      <c r="J660" s="123"/>
      <c r="L660" s="123"/>
      <c r="N660" s="123"/>
    </row>
    <row r="661" ht="15.75" hidden="1" customHeight="1">
      <c r="B661" s="123"/>
      <c r="D661" s="123"/>
      <c r="F661" s="123"/>
      <c r="H661" s="123"/>
      <c r="J661" s="123"/>
      <c r="L661" s="123"/>
      <c r="N661" s="123"/>
    </row>
    <row r="662" ht="15.75" hidden="1" customHeight="1">
      <c r="B662" s="123"/>
      <c r="D662" s="123"/>
      <c r="F662" s="123"/>
      <c r="H662" s="123"/>
      <c r="J662" s="123"/>
      <c r="L662" s="123"/>
      <c r="N662" s="123"/>
    </row>
    <row r="663" ht="15.75" hidden="1" customHeight="1">
      <c r="B663" s="123"/>
      <c r="D663" s="123"/>
      <c r="F663" s="123"/>
      <c r="H663" s="123"/>
      <c r="J663" s="123"/>
      <c r="L663" s="123"/>
      <c r="N663" s="123"/>
    </row>
    <row r="664" ht="15.75" hidden="1" customHeight="1">
      <c r="B664" s="123"/>
      <c r="D664" s="123"/>
      <c r="F664" s="123"/>
      <c r="H664" s="123"/>
      <c r="J664" s="123"/>
      <c r="L664" s="123"/>
      <c r="N664" s="123"/>
    </row>
    <row r="665" ht="15.75" hidden="1" customHeight="1">
      <c r="B665" s="123"/>
      <c r="D665" s="123"/>
      <c r="F665" s="123"/>
      <c r="H665" s="123"/>
      <c r="J665" s="123"/>
      <c r="L665" s="123"/>
      <c r="N665" s="123"/>
    </row>
    <row r="666" ht="15.75" hidden="1" customHeight="1">
      <c r="B666" s="123"/>
      <c r="D666" s="123"/>
      <c r="F666" s="123"/>
      <c r="H666" s="123"/>
      <c r="J666" s="123"/>
      <c r="L666" s="123"/>
      <c r="N666" s="123"/>
    </row>
    <row r="667" ht="15.75" hidden="1" customHeight="1">
      <c r="B667" s="123"/>
      <c r="D667" s="123"/>
      <c r="F667" s="123"/>
      <c r="H667" s="123"/>
      <c r="J667" s="123"/>
      <c r="L667" s="123"/>
      <c r="N667" s="123"/>
    </row>
    <row r="668" ht="15.75" hidden="1" customHeight="1">
      <c r="B668" s="123"/>
      <c r="D668" s="123"/>
      <c r="F668" s="123"/>
      <c r="H668" s="123"/>
      <c r="J668" s="123"/>
      <c r="L668" s="123"/>
      <c r="N668" s="123"/>
    </row>
    <row r="669" ht="15.75" hidden="1" customHeight="1">
      <c r="B669" s="123"/>
      <c r="D669" s="123"/>
      <c r="F669" s="123"/>
      <c r="H669" s="123"/>
      <c r="J669" s="123"/>
      <c r="L669" s="123"/>
      <c r="N669" s="123"/>
    </row>
    <row r="670" ht="15.75" hidden="1" customHeight="1">
      <c r="B670" s="123"/>
      <c r="D670" s="123"/>
      <c r="F670" s="123"/>
      <c r="H670" s="123"/>
      <c r="J670" s="123"/>
      <c r="L670" s="123"/>
      <c r="N670" s="123"/>
    </row>
    <row r="671" ht="15.75" hidden="1" customHeight="1">
      <c r="B671" s="123"/>
      <c r="D671" s="123"/>
      <c r="F671" s="123"/>
      <c r="H671" s="123"/>
      <c r="J671" s="123"/>
      <c r="L671" s="123"/>
      <c r="N671" s="123"/>
    </row>
    <row r="672" ht="15.75" hidden="1" customHeight="1">
      <c r="B672" s="123"/>
      <c r="D672" s="123"/>
      <c r="F672" s="123"/>
      <c r="H672" s="123"/>
      <c r="J672" s="123"/>
      <c r="L672" s="123"/>
      <c r="N672" s="123"/>
    </row>
    <row r="673" ht="15.75" hidden="1" customHeight="1">
      <c r="B673" s="123"/>
      <c r="D673" s="123"/>
      <c r="F673" s="123"/>
      <c r="H673" s="123"/>
      <c r="J673" s="123"/>
      <c r="L673" s="123"/>
      <c r="N673" s="123"/>
    </row>
    <row r="674" ht="15.75" hidden="1" customHeight="1">
      <c r="B674" s="123"/>
      <c r="D674" s="123"/>
      <c r="F674" s="123"/>
      <c r="H674" s="123"/>
      <c r="J674" s="123"/>
      <c r="L674" s="123"/>
      <c r="N674" s="123"/>
    </row>
    <row r="675" ht="15.75" hidden="1" customHeight="1">
      <c r="B675" s="123"/>
      <c r="D675" s="123"/>
      <c r="F675" s="123"/>
      <c r="H675" s="123"/>
      <c r="J675" s="123"/>
      <c r="L675" s="123"/>
      <c r="N675" s="123"/>
    </row>
    <row r="676" ht="15.75" hidden="1" customHeight="1">
      <c r="B676" s="123"/>
      <c r="D676" s="123"/>
      <c r="F676" s="123"/>
      <c r="H676" s="123"/>
      <c r="J676" s="123"/>
      <c r="L676" s="123"/>
      <c r="N676" s="123"/>
    </row>
    <row r="677" ht="15.75" hidden="1" customHeight="1">
      <c r="B677" s="123"/>
      <c r="D677" s="123"/>
      <c r="F677" s="123"/>
      <c r="H677" s="123"/>
      <c r="J677" s="123"/>
      <c r="L677" s="123"/>
      <c r="N677" s="123"/>
    </row>
    <row r="678" ht="15.75" hidden="1" customHeight="1">
      <c r="B678" s="123"/>
      <c r="D678" s="123"/>
      <c r="F678" s="123"/>
      <c r="H678" s="123"/>
      <c r="J678" s="123"/>
      <c r="L678" s="123"/>
      <c r="N678" s="123"/>
    </row>
    <row r="679" ht="15.75" hidden="1" customHeight="1">
      <c r="B679" s="123"/>
      <c r="D679" s="123"/>
      <c r="F679" s="123"/>
      <c r="H679" s="123"/>
      <c r="J679" s="123"/>
      <c r="L679" s="123"/>
      <c r="N679" s="123"/>
    </row>
    <row r="680" ht="15.75" hidden="1" customHeight="1">
      <c r="B680" s="123"/>
      <c r="D680" s="123"/>
      <c r="F680" s="123"/>
      <c r="H680" s="123"/>
      <c r="J680" s="123"/>
      <c r="L680" s="123"/>
      <c r="N680" s="123"/>
    </row>
    <row r="681" ht="15.75" hidden="1" customHeight="1">
      <c r="B681" s="123"/>
      <c r="D681" s="123"/>
      <c r="F681" s="123"/>
      <c r="H681" s="123"/>
      <c r="J681" s="123"/>
      <c r="L681" s="123"/>
      <c r="N681" s="123"/>
    </row>
    <row r="682" ht="15.75" hidden="1" customHeight="1">
      <c r="B682" s="123"/>
      <c r="D682" s="123"/>
      <c r="F682" s="123"/>
      <c r="H682" s="123"/>
      <c r="J682" s="123"/>
      <c r="L682" s="123"/>
      <c r="N682" s="123"/>
    </row>
    <row r="683" ht="15.75" hidden="1" customHeight="1">
      <c r="B683" s="123"/>
      <c r="D683" s="123"/>
      <c r="F683" s="123"/>
      <c r="H683" s="123"/>
      <c r="J683" s="123"/>
      <c r="L683" s="123"/>
      <c r="N683" s="123"/>
    </row>
    <row r="684" ht="15.75" hidden="1" customHeight="1">
      <c r="B684" s="123"/>
      <c r="D684" s="123"/>
      <c r="F684" s="123"/>
      <c r="H684" s="123"/>
      <c r="J684" s="123"/>
      <c r="L684" s="123"/>
      <c r="N684" s="123"/>
    </row>
    <row r="685" ht="15.75" hidden="1" customHeight="1">
      <c r="B685" s="123"/>
      <c r="D685" s="123"/>
      <c r="F685" s="123"/>
      <c r="H685" s="123"/>
      <c r="J685" s="123"/>
      <c r="L685" s="123"/>
      <c r="N685" s="123"/>
    </row>
    <row r="686" ht="15.75" hidden="1" customHeight="1">
      <c r="B686" s="123"/>
      <c r="D686" s="123"/>
      <c r="F686" s="123"/>
      <c r="H686" s="123"/>
      <c r="J686" s="123"/>
      <c r="L686" s="123"/>
      <c r="N686" s="123"/>
    </row>
    <row r="687" ht="15.75" hidden="1" customHeight="1">
      <c r="B687" s="123"/>
      <c r="D687" s="123"/>
      <c r="F687" s="123"/>
      <c r="H687" s="123"/>
      <c r="J687" s="123"/>
      <c r="L687" s="123"/>
      <c r="N687" s="123"/>
    </row>
    <row r="688" ht="15.75" hidden="1" customHeight="1">
      <c r="B688" s="123"/>
      <c r="D688" s="123"/>
      <c r="F688" s="123"/>
      <c r="H688" s="123"/>
      <c r="J688" s="123"/>
      <c r="L688" s="123"/>
      <c r="N688" s="123"/>
    </row>
    <row r="689" ht="15.75" hidden="1" customHeight="1">
      <c r="B689" s="123"/>
      <c r="D689" s="123"/>
      <c r="F689" s="123"/>
      <c r="H689" s="123"/>
      <c r="J689" s="123"/>
      <c r="L689" s="123"/>
      <c r="N689" s="123"/>
    </row>
    <row r="690" ht="15.75" hidden="1" customHeight="1">
      <c r="B690" s="123"/>
      <c r="D690" s="123"/>
      <c r="F690" s="123"/>
      <c r="H690" s="123"/>
      <c r="J690" s="123"/>
      <c r="L690" s="123"/>
      <c r="N690" s="123"/>
    </row>
    <row r="691" ht="15.75" hidden="1" customHeight="1">
      <c r="B691" s="123"/>
      <c r="D691" s="123"/>
      <c r="F691" s="123"/>
      <c r="H691" s="123"/>
      <c r="J691" s="123"/>
      <c r="L691" s="123"/>
      <c r="N691" s="123"/>
    </row>
    <row r="692" ht="15.75" hidden="1" customHeight="1">
      <c r="B692" s="123"/>
      <c r="D692" s="123"/>
      <c r="F692" s="123"/>
      <c r="H692" s="123"/>
      <c r="J692" s="123"/>
      <c r="L692" s="123"/>
      <c r="N692" s="123"/>
    </row>
    <row r="693" ht="15.75" hidden="1" customHeight="1">
      <c r="B693" s="123"/>
      <c r="D693" s="123"/>
      <c r="F693" s="123"/>
      <c r="H693" s="123"/>
      <c r="J693" s="123"/>
      <c r="L693" s="123"/>
      <c r="N693" s="123"/>
    </row>
    <row r="694" ht="15.75" hidden="1" customHeight="1">
      <c r="B694" s="123"/>
      <c r="D694" s="123"/>
      <c r="F694" s="123"/>
      <c r="H694" s="123"/>
      <c r="J694" s="123"/>
      <c r="L694" s="123"/>
      <c r="N694" s="123"/>
    </row>
    <row r="695" ht="15.75" hidden="1" customHeight="1">
      <c r="B695" s="123"/>
      <c r="D695" s="123"/>
      <c r="F695" s="123"/>
      <c r="H695" s="123"/>
      <c r="J695" s="123"/>
      <c r="L695" s="123"/>
      <c r="N695" s="123"/>
    </row>
    <row r="696" ht="15.75" hidden="1" customHeight="1">
      <c r="B696" s="123"/>
      <c r="D696" s="123"/>
      <c r="F696" s="123"/>
      <c r="H696" s="123"/>
      <c r="J696" s="123"/>
      <c r="L696" s="123"/>
      <c r="N696" s="123"/>
    </row>
    <row r="697" ht="15.75" hidden="1" customHeight="1">
      <c r="B697" s="123"/>
      <c r="D697" s="123"/>
      <c r="F697" s="123"/>
      <c r="H697" s="123"/>
      <c r="J697" s="123"/>
      <c r="L697" s="123"/>
      <c r="N697" s="123"/>
    </row>
    <row r="698" ht="15.75" hidden="1" customHeight="1">
      <c r="B698" s="123"/>
      <c r="D698" s="123"/>
      <c r="F698" s="123"/>
      <c r="H698" s="123"/>
      <c r="J698" s="123"/>
      <c r="L698" s="123"/>
      <c r="N698" s="123"/>
    </row>
    <row r="699" ht="15.75" hidden="1" customHeight="1">
      <c r="B699" s="123"/>
      <c r="D699" s="123"/>
      <c r="F699" s="123"/>
      <c r="H699" s="123"/>
      <c r="J699" s="123"/>
      <c r="L699" s="123"/>
      <c r="N699" s="123"/>
    </row>
    <row r="700" ht="15.75" hidden="1" customHeight="1">
      <c r="B700" s="123"/>
      <c r="D700" s="123"/>
      <c r="F700" s="123"/>
      <c r="H700" s="123"/>
      <c r="J700" s="123"/>
      <c r="L700" s="123"/>
      <c r="N700" s="123"/>
    </row>
    <row r="701" ht="15.75" hidden="1" customHeight="1">
      <c r="B701" s="123"/>
      <c r="D701" s="123"/>
      <c r="F701" s="123"/>
      <c r="H701" s="123"/>
      <c r="J701" s="123"/>
      <c r="L701" s="123"/>
      <c r="N701" s="123"/>
    </row>
    <row r="702" ht="15.75" hidden="1" customHeight="1">
      <c r="B702" s="123"/>
      <c r="D702" s="123"/>
      <c r="F702" s="123"/>
      <c r="H702" s="123"/>
      <c r="J702" s="123"/>
      <c r="L702" s="123"/>
      <c r="N702" s="123"/>
    </row>
    <row r="703" ht="15.75" hidden="1" customHeight="1">
      <c r="B703" s="123"/>
      <c r="D703" s="123"/>
      <c r="F703" s="123"/>
      <c r="H703" s="123"/>
      <c r="J703" s="123"/>
      <c r="L703" s="123"/>
      <c r="N703" s="123"/>
    </row>
    <row r="704" ht="15.75" hidden="1" customHeight="1">
      <c r="B704" s="123"/>
      <c r="D704" s="123"/>
      <c r="F704" s="123"/>
      <c r="H704" s="123"/>
      <c r="J704" s="123"/>
      <c r="L704" s="123"/>
      <c r="N704" s="123"/>
    </row>
    <row r="705" ht="15.75" hidden="1" customHeight="1">
      <c r="B705" s="123"/>
      <c r="D705" s="123"/>
      <c r="F705" s="123"/>
      <c r="H705" s="123"/>
      <c r="J705" s="123"/>
      <c r="L705" s="123"/>
      <c r="N705" s="123"/>
    </row>
    <row r="706" ht="15.75" hidden="1" customHeight="1">
      <c r="B706" s="123"/>
      <c r="D706" s="123"/>
      <c r="F706" s="123"/>
      <c r="H706" s="123"/>
      <c r="J706" s="123"/>
      <c r="L706" s="123"/>
      <c r="N706" s="123"/>
    </row>
    <row r="707" ht="15.75" hidden="1" customHeight="1">
      <c r="B707" s="123"/>
      <c r="D707" s="123"/>
      <c r="F707" s="123"/>
      <c r="H707" s="123"/>
      <c r="J707" s="123"/>
      <c r="L707" s="123"/>
      <c r="N707" s="123"/>
    </row>
    <row r="708" ht="15.75" hidden="1" customHeight="1">
      <c r="B708" s="123"/>
      <c r="D708" s="123"/>
      <c r="F708" s="123"/>
      <c r="H708" s="123"/>
      <c r="J708" s="123"/>
      <c r="L708" s="123"/>
      <c r="N708" s="123"/>
    </row>
    <row r="709" ht="15.75" hidden="1" customHeight="1">
      <c r="B709" s="123"/>
      <c r="D709" s="123"/>
      <c r="F709" s="123"/>
      <c r="H709" s="123"/>
      <c r="J709" s="123"/>
      <c r="L709" s="123"/>
      <c r="N709" s="123"/>
    </row>
    <row r="710" ht="15.75" hidden="1" customHeight="1">
      <c r="B710" s="123"/>
      <c r="D710" s="123"/>
      <c r="F710" s="123"/>
      <c r="H710" s="123"/>
      <c r="J710" s="123"/>
      <c r="L710" s="123"/>
      <c r="N710" s="123"/>
    </row>
    <row r="711" ht="15.75" hidden="1" customHeight="1">
      <c r="B711" s="123"/>
      <c r="D711" s="123"/>
      <c r="F711" s="123"/>
      <c r="H711" s="123"/>
      <c r="J711" s="123"/>
      <c r="L711" s="123"/>
      <c r="N711" s="123"/>
    </row>
    <row r="712" ht="15.75" hidden="1" customHeight="1">
      <c r="B712" s="123"/>
      <c r="D712" s="123"/>
      <c r="F712" s="123"/>
      <c r="H712" s="123"/>
      <c r="J712" s="123"/>
      <c r="L712" s="123"/>
      <c r="N712" s="123"/>
    </row>
    <row r="713" ht="15.75" hidden="1" customHeight="1">
      <c r="B713" s="123"/>
      <c r="D713" s="123"/>
      <c r="F713" s="123"/>
      <c r="H713" s="123"/>
      <c r="J713" s="123"/>
      <c r="L713" s="123"/>
      <c r="N713" s="123"/>
    </row>
    <row r="714" ht="15.75" hidden="1" customHeight="1">
      <c r="B714" s="123"/>
      <c r="D714" s="123"/>
      <c r="F714" s="123"/>
      <c r="H714" s="123"/>
      <c r="J714" s="123"/>
      <c r="L714" s="123"/>
      <c r="N714" s="123"/>
    </row>
    <row r="715" ht="15.75" hidden="1" customHeight="1">
      <c r="B715" s="123"/>
      <c r="D715" s="123"/>
      <c r="F715" s="123"/>
      <c r="H715" s="123"/>
      <c r="J715" s="123"/>
      <c r="L715" s="123"/>
      <c r="N715" s="123"/>
    </row>
    <row r="716" ht="15.75" hidden="1" customHeight="1">
      <c r="B716" s="123"/>
      <c r="D716" s="123"/>
      <c r="F716" s="123"/>
      <c r="H716" s="123"/>
      <c r="J716" s="123"/>
      <c r="L716" s="123"/>
      <c r="N716" s="123"/>
    </row>
    <row r="717" ht="15.75" hidden="1" customHeight="1">
      <c r="B717" s="123"/>
      <c r="D717" s="123"/>
      <c r="F717" s="123"/>
      <c r="H717" s="123"/>
      <c r="J717" s="123"/>
      <c r="L717" s="123"/>
      <c r="N717" s="123"/>
    </row>
    <row r="718" ht="15.75" hidden="1" customHeight="1">
      <c r="B718" s="123"/>
      <c r="D718" s="123"/>
      <c r="F718" s="123"/>
      <c r="H718" s="123"/>
      <c r="J718" s="123"/>
      <c r="L718" s="123"/>
      <c r="N718" s="123"/>
    </row>
    <row r="719" ht="15.75" hidden="1" customHeight="1">
      <c r="B719" s="123"/>
      <c r="D719" s="123"/>
      <c r="F719" s="123"/>
      <c r="H719" s="123"/>
      <c r="J719" s="123"/>
      <c r="L719" s="123"/>
      <c r="N719" s="123"/>
    </row>
    <row r="720" ht="15.75" hidden="1" customHeight="1">
      <c r="B720" s="123"/>
      <c r="D720" s="123"/>
      <c r="F720" s="123"/>
      <c r="H720" s="123"/>
      <c r="J720" s="123"/>
      <c r="L720" s="123"/>
      <c r="N720" s="123"/>
    </row>
    <row r="721" ht="15.75" hidden="1" customHeight="1">
      <c r="B721" s="123"/>
      <c r="D721" s="123"/>
      <c r="F721" s="123"/>
      <c r="H721" s="123"/>
      <c r="J721" s="123"/>
      <c r="L721" s="123"/>
      <c r="N721" s="123"/>
    </row>
    <row r="722" ht="15.75" hidden="1" customHeight="1">
      <c r="B722" s="123"/>
      <c r="D722" s="123"/>
      <c r="F722" s="123"/>
      <c r="H722" s="123"/>
      <c r="J722" s="123"/>
      <c r="L722" s="123"/>
      <c r="N722" s="123"/>
    </row>
    <row r="723" ht="15.75" hidden="1" customHeight="1">
      <c r="B723" s="123"/>
      <c r="D723" s="123"/>
      <c r="F723" s="123"/>
      <c r="H723" s="123"/>
      <c r="J723" s="123"/>
      <c r="L723" s="123"/>
      <c r="N723" s="123"/>
    </row>
    <row r="724" ht="15.75" hidden="1" customHeight="1">
      <c r="B724" s="123"/>
      <c r="D724" s="123"/>
      <c r="F724" s="123"/>
      <c r="H724" s="123"/>
      <c r="J724" s="123"/>
      <c r="L724" s="123"/>
      <c r="N724" s="123"/>
    </row>
    <row r="725" ht="15.75" hidden="1" customHeight="1">
      <c r="B725" s="123"/>
      <c r="D725" s="123"/>
      <c r="F725" s="123"/>
      <c r="H725" s="123"/>
      <c r="J725" s="123"/>
      <c r="L725" s="123"/>
      <c r="N725" s="123"/>
    </row>
    <row r="726" ht="15.75" hidden="1" customHeight="1">
      <c r="B726" s="123"/>
      <c r="D726" s="123"/>
      <c r="F726" s="123"/>
      <c r="H726" s="123"/>
      <c r="J726" s="123"/>
      <c r="L726" s="123"/>
      <c r="N726" s="123"/>
    </row>
    <row r="727" ht="15.75" hidden="1" customHeight="1">
      <c r="B727" s="123"/>
      <c r="D727" s="123"/>
      <c r="F727" s="123"/>
      <c r="H727" s="123"/>
      <c r="J727" s="123"/>
      <c r="L727" s="123"/>
      <c r="N727" s="123"/>
    </row>
    <row r="728" ht="15.75" hidden="1" customHeight="1">
      <c r="B728" s="123"/>
      <c r="D728" s="123"/>
      <c r="F728" s="123"/>
      <c r="H728" s="123"/>
      <c r="J728" s="123"/>
      <c r="L728" s="123"/>
      <c r="N728" s="123"/>
    </row>
    <row r="729" ht="15.75" hidden="1" customHeight="1">
      <c r="B729" s="123"/>
      <c r="D729" s="123"/>
      <c r="F729" s="123"/>
      <c r="H729" s="123"/>
      <c r="J729" s="123"/>
      <c r="L729" s="123"/>
      <c r="N729" s="123"/>
    </row>
    <row r="730" ht="15.75" hidden="1" customHeight="1">
      <c r="B730" s="123"/>
      <c r="D730" s="123"/>
      <c r="F730" s="123"/>
      <c r="H730" s="123"/>
      <c r="J730" s="123"/>
      <c r="L730" s="123"/>
      <c r="N730" s="123"/>
    </row>
    <row r="731" ht="15.75" hidden="1" customHeight="1">
      <c r="B731" s="123"/>
      <c r="D731" s="123"/>
      <c r="F731" s="123"/>
      <c r="H731" s="123"/>
      <c r="J731" s="123"/>
      <c r="L731" s="123"/>
      <c r="N731" s="123"/>
    </row>
    <row r="732" ht="15.75" hidden="1" customHeight="1">
      <c r="B732" s="123"/>
      <c r="D732" s="123"/>
      <c r="F732" s="123"/>
      <c r="H732" s="123"/>
      <c r="J732" s="123"/>
      <c r="L732" s="123"/>
      <c r="N732" s="123"/>
    </row>
    <row r="733" ht="15.75" hidden="1" customHeight="1">
      <c r="B733" s="123"/>
      <c r="D733" s="123"/>
      <c r="F733" s="123"/>
      <c r="H733" s="123"/>
      <c r="J733" s="123"/>
      <c r="L733" s="123"/>
      <c r="N733" s="123"/>
    </row>
    <row r="734" ht="15.75" hidden="1" customHeight="1">
      <c r="B734" s="123"/>
      <c r="D734" s="123"/>
      <c r="F734" s="123"/>
      <c r="H734" s="123"/>
      <c r="J734" s="123"/>
      <c r="L734" s="123"/>
      <c r="N734" s="123"/>
    </row>
    <row r="735" ht="15.75" hidden="1" customHeight="1">
      <c r="B735" s="123"/>
      <c r="D735" s="123"/>
      <c r="F735" s="123"/>
      <c r="H735" s="123"/>
      <c r="J735" s="123"/>
      <c r="L735" s="123"/>
      <c r="N735" s="123"/>
    </row>
    <row r="736" ht="15.75" hidden="1" customHeight="1">
      <c r="B736" s="123"/>
      <c r="D736" s="123"/>
      <c r="F736" s="123"/>
      <c r="H736" s="123"/>
      <c r="J736" s="123"/>
      <c r="L736" s="123"/>
      <c r="N736" s="123"/>
    </row>
    <row r="737" ht="15.75" hidden="1" customHeight="1">
      <c r="B737" s="123"/>
      <c r="D737" s="123"/>
      <c r="F737" s="123"/>
      <c r="H737" s="123"/>
      <c r="J737" s="123"/>
      <c r="L737" s="123"/>
      <c r="N737" s="123"/>
    </row>
    <row r="738" ht="15.75" hidden="1" customHeight="1">
      <c r="B738" s="123"/>
      <c r="D738" s="123"/>
      <c r="F738" s="123"/>
      <c r="H738" s="123"/>
      <c r="J738" s="123"/>
      <c r="L738" s="123"/>
      <c r="N738" s="123"/>
    </row>
    <row r="739" ht="15.75" hidden="1" customHeight="1">
      <c r="B739" s="123"/>
      <c r="D739" s="123"/>
      <c r="F739" s="123"/>
      <c r="H739" s="123"/>
      <c r="J739" s="123"/>
      <c r="L739" s="123"/>
      <c r="N739" s="123"/>
    </row>
    <row r="740" ht="15.75" hidden="1" customHeight="1">
      <c r="B740" s="123"/>
      <c r="D740" s="123"/>
      <c r="F740" s="123"/>
      <c r="H740" s="123"/>
      <c r="J740" s="123"/>
      <c r="L740" s="123"/>
      <c r="N740" s="123"/>
    </row>
    <row r="741" ht="15.75" hidden="1" customHeight="1">
      <c r="B741" s="123"/>
      <c r="D741" s="123"/>
      <c r="F741" s="123"/>
      <c r="H741" s="123"/>
      <c r="J741" s="123"/>
      <c r="L741" s="123"/>
      <c r="N741" s="123"/>
    </row>
    <row r="742" ht="15.75" hidden="1" customHeight="1">
      <c r="B742" s="123"/>
      <c r="D742" s="123"/>
      <c r="F742" s="123"/>
      <c r="H742" s="123"/>
      <c r="J742" s="123"/>
      <c r="L742" s="123"/>
      <c r="N742" s="123"/>
    </row>
    <row r="743" ht="15.75" hidden="1" customHeight="1">
      <c r="B743" s="123"/>
      <c r="D743" s="123"/>
      <c r="F743" s="123"/>
      <c r="H743" s="123"/>
      <c r="J743" s="123"/>
      <c r="L743" s="123"/>
      <c r="N743" s="123"/>
    </row>
    <row r="744" ht="15.75" hidden="1" customHeight="1">
      <c r="B744" s="123"/>
      <c r="D744" s="123"/>
      <c r="F744" s="123"/>
      <c r="H744" s="123"/>
      <c r="J744" s="123"/>
      <c r="L744" s="123"/>
      <c r="N744" s="123"/>
    </row>
    <row r="745" ht="15.75" hidden="1" customHeight="1">
      <c r="B745" s="123"/>
      <c r="D745" s="123"/>
      <c r="F745" s="123"/>
      <c r="H745" s="123"/>
      <c r="J745" s="123"/>
      <c r="L745" s="123"/>
      <c r="N745" s="123"/>
    </row>
    <row r="746" ht="15.75" hidden="1" customHeight="1">
      <c r="B746" s="123"/>
      <c r="D746" s="123"/>
      <c r="F746" s="123"/>
      <c r="H746" s="123"/>
      <c r="J746" s="123"/>
      <c r="L746" s="123"/>
      <c r="N746" s="123"/>
    </row>
    <row r="747" ht="15.75" hidden="1" customHeight="1">
      <c r="B747" s="123"/>
      <c r="D747" s="123"/>
      <c r="F747" s="123"/>
      <c r="H747" s="123"/>
      <c r="J747" s="123"/>
      <c r="L747" s="123"/>
      <c r="N747" s="123"/>
    </row>
    <row r="748" ht="15.75" hidden="1" customHeight="1">
      <c r="B748" s="123"/>
      <c r="D748" s="123"/>
      <c r="F748" s="123"/>
      <c r="H748" s="123"/>
      <c r="J748" s="123"/>
      <c r="L748" s="123"/>
      <c r="N748" s="123"/>
    </row>
    <row r="749" ht="15.75" hidden="1" customHeight="1">
      <c r="B749" s="123"/>
      <c r="D749" s="123"/>
      <c r="F749" s="123"/>
      <c r="H749" s="123"/>
      <c r="J749" s="123"/>
      <c r="L749" s="123"/>
      <c r="N749" s="123"/>
    </row>
    <row r="750" ht="15.75" hidden="1" customHeight="1">
      <c r="B750" s="123"/>
      <c r="D750" s="123"/>
      <c r="F750" s="123"/>
      <c r="H750" s="123"/>
      <c r="J750" s="123"/>
      <c r="L750" s="123"/>
      <c r="N750" s="123"/>
    </row>
    <row r="751" ht="15.75" hidden="1" customHeight="1">
      <c r="B751" s="123"/>
      <c r="D751" s="123"/>
      <c r="F751" s="123"/>
      <c r="H751" s="123"/>
      <c r="J751" s="123"/>
      <c r="L751" s="123"/>
      <c r="N751" s="123"/>
    </row>
    <row r="752" ht="15.75" hidden="1" customHeight="1">
      <c r="B752" s="123"/>
      <c r="D752" s="123"/>
      <c r="F752" s="123"/>
      <c r="H752" s="123"/>
      <c r="J752" s="123"/>
      <c r="L752" s="123"/>
      <c r="N752" s="123"/>
    </row>
    <row r="753" ht="15.75" hidden="1" customHeight="1">
      <c r="B753" s="123"/>
      <c r="D753" s="123"/>
      <c r="F753" s="123"/>
      <c r="H753" s="123"/>
      <c r="J753" s="123"/>
      <c r="L753" s="123"/>
      <c r="N753" s="123"/>
    </row>
    <row r="754" ht="15.75" hidden="1" customHeight="1">
      <c r="B754" s="123"/>
      <c r="D754" s="123"/>
      <c r="F754" s="123"/>
      <c r="H754" s="123"/>
      <c r="J754" s="123"/>
      <c r="L754" s="123"/>
      <c r="N754" s="123"/>
    </row>
    <row r="755" ht="15.75" hidden="1" customHeight="1">
      <c r="B755" s="123"/>
      <c r="D755" s="123"/>
      <c r="F755" s="123"/>
      <c r="H755" s="123"/>
      <c r="J755" s="123"/>
      <c r="L755" s="123"/>
      <c r="N755" s="123"/>
    </row>
    <row r="756" ht="15.75" hidden="1" customHeight="1">
      <c r="B756" s="123"/>
      <c r="D756" s="123"/>
      <c r="F756" s="123"/>
      <c r="H756" s="123"/>
      <c r="J756" s="123"/>
      <c r="L756" s="123"/>
      <c r="N756" s="123"/>
    </row>
    <row r="757" ht="15.75" hidden="1" customHeight="1">
      <c r="B757" s="123"/>
      <c r="D757" s="123"/>
      <c r="F757" s="123"/>
      <c r="H757" s="123"/>
      <c r="J757" s="123"/>
      <c r="L757" s="123"/>
      <c r="N757" s="123"/>
    </row>
    <row r="758" ht="15.75" hidden="1" customHeight="1">
      <c r="B758" s="123"/>
      <c r="D758" s="123"/>
      <c r="F758" s="123"/>
      <c r="H758" s="123"/>
      <c r="J758" s="123"/>
      <c r="L758" s="123"/>
      <c r="N758" s="123"/>
    </row>
    <row r="759" ht="15.75" hidden="1" customHeight="1">
      <c r="B759" s="123"/>
      <c r="D759" s="123"/>
      <c r="F759" s="123"/>
      <c r="H759" s="123"/>
      <c r="J759" s="123"/>
      <c r="L759" s="123"/>
      <c r="N759" s="123"/>
    </row>
    <row r="760" ht="15.75" hidden="1" customHeight="1">
      <c r="B760" s="123"/>
      <c r="D760" s="123"/>
      <c r="F760" s="123"/>
      <c r="H760" s="123"/>
      <c r="J760" s="123"/>
      <c r="L760" s="123"/>
      <c r="N760" s="123"/>
    </row>
    <row r="761" ht="15.75" hidden="1" customHeight="1">
      <c r="B761" s="123"/>
      <c r="D761" s="123"/>
      <c r="F761" s="123"/>
      <c r="H761" s="123"/>
      <c r="J761" s="123"/>
      <c r="L761" s="123"/>
      <c r="N761" s="123"/>
    </row>
    <row r="762" ht="15.75" hidden="1" customHeight="1">
      <c r="B762" s="123"/>
      <c r="D762" s="123"/>
      <c r="F762" s="123"/>
      <c r="H762" s="123"/>
      <c r="J762" s="123"/>
      <c r="L762" s="123"/>
      <c r="N762" s="123"/>
    </row>
    <row r="763" ht="15.75" hidden="1" customHeight="1">
      <c r="B763" s="123"/>
      <c r="D763" s="123"/>
      <c r="F763" s="123"/>
      <c r="H763" s="123"/>
      <c r="J763" s="123"/>
      <c r="L763" s="123"/>
      <c r="N763" s="123"/>
    </row>
    <row r="764" ht="15.75" hidden="1" customHeight="1">
      <c r="B764" s="123"/>
      <c r="D764" s="123"/>
      <c r="F764" s="123"/>
      <c r="H764" s="123"/>
      <c r="J764" s="123"/>
      <c r="L764" s="123"/>
      <c r="N764" s="123"/>
    </row>
    <row r="765" ht="15.75" hidden="1" customHeight="1">
      <c r="B765" s="123"/>
      <c r="D765" s="123"/>
      <c r="F765" s="123"/>
      <c r="H765" s="123"/>
      <c r="J765" s="123"/>
      <c r="L765" s="123"/>
      <c r="N765" s="123"/>
    </row>
    <row r="766" ht="15.75" hidden="1" customHeight="1">
      <c r="B766" s="123"/>
      <c r="D766" s="123"/>
      <c r="F766" s="123"/>
      <c r="H766" s="123"/>
      <c r="J766" s="123"/>
      <c r="L766" s="123"/>
      <c r="N766" s="123"/>
    </row>
    <row r="767" ht="15.75" hidden="1" customHeight="1">
      <c r="B767" s="123"/>
      <c r="D767" s="123"/>
      <c r="F767" s="123"/>
      <c r="H767" s="123"/>
      <c r="J767" s="123"/>
      <c r="L767" s="123"/>
      <c r="N767" s="123"/>
    </row>
    <row r="768" ht="15.75" hidden="1" customHeight="1">
      <c r="B768" s="123"/>
      <c r="D768" s="123"/>
      <c r="F768" s="123"/>
      <c r="H768" s="123"/>
      <c r="J768" s="123"/>
      <c r="L768" s="123"/>
      <c r="N768" s="123"/>
    </row>
    <row r="769" ht="15.75" hidden="1" customHeight="1">
      <c r="B769" s="123"/>
      <c r="D769" s="123"/>
      <c r="F769" s="123"/>
      <c r="H769" s="123"/>
      <c r="J769" s="123"/>
      <c r="L769" s="123"/>
      <c r="N769" s="123"/>
    </row>
    <row r="770" ht="15.75" hidden="1" customHeight="1">
      <c r="B770" s="123"/>
      <c r="D770" s="123"/>
      <c r="F770" s="123"/>
      <c r="H770" s="123"/>
      <c r="J770" s="123"/>
      <c r="L770" s="123"/>
      <c r="N770" s="123"/>
    </row>
    <row r="771" ht="15.75" hidden="1" customHeight="1">
      <c r="B771" s="123"/>
      <c r="D771" s="123"/>
      <c r="F771" s="123"/>
      <c r="H771" s="123"/>
      <c r="J771" s="123"/>
      <c r="L771" s="123"/>
      <c r="N771" s="123"/>
    </row>
    <row r="772" ht="15.75" hidden="1" customHeight="1">
      <c r="B772" s="123"/>
      <c r="D772" s="123"/>
      <c r="F772" s="123"/>
      <c r="H772" s="123"/>
      <c r="J772" s="123"/>
      <c r="L772" s="123"/>
      <c r="N772" s="123"/>
    </row>
    <row r="773" ht="15.75" hidden="1" customHeight="1">
      <c r="B773" s="123"/>
      <c r="D773" s="123"/>
      <c r="F773" s="123"/>
      <c r="H773" s="123"/>
      <c r="J773" s="123"/>
      <c r="L773" s="123"/>
      <c r="N773" s="123"/>
    </row>
    <row r="774" ht="15.75" hidden="1" customHeight="1">
      <c r="B774" s="123"/>
      <c r="D774" s="123"/>
      <c r="F774" s="123"/>
      <c r="H774" s="123"/>
      <c r="J774" s="123"/>
      <c r="L774" s="123"/>
      <c r="N774" s="123"/>
    </row>
    <row r="775" ht="15.75" hidden="1" customHeight="1">
      <c r="B775" s="123"/>
      <c r="D775" s="123"/>
      <c r="F775" s="123"/>
      <c r="H775" s="123"/>
      <c r="J775" s="123"/>
      <c r="L775" s="123"/>
      <c r="N775" s="123"/>
    </row>
    <row r="776" ht="15.75" hidden="1" customHeight="1">
      <c r="B776" s="123"/>
      <c r="D776" s="123"/>
      <c r="F776" s="123"/>
      <c r="H776" s="123"/>
      <c r="J776" s="123"/>
      <c r="L776" s="123"/>
      <c r="N776" s="123"/>
    </row>
    <row r="777" ht="15.75" hidden="1" customHeight="1">
      <c r="B777" s="123"/>
      <c r="D777" s="123"/>
      <c r="F777" s="123"/>
      <c r="H777" s="123"/>
      <c r="J777" s="123"/>
      <c r="L777" s="123"/>
      <c r="N777" s="123"/>
    </row>
    <row r="778" ht="15.75" hidden="1" customHeight="1">
      <c r="B778" s="123"/>
      <c r="D778" s="123"/>
      <c r="F778" s="123"/>
      <c r="H778" s="123"/>
      <c r="J778" s="123"/>
      <c r="L778" s="123"/>
      <c r="N778" s="123"/>
    </row>
    <row r="779" ht="15.75" hidden="1" customHeight="1">
      <c r="B779" s="123"/>
      <c r="D779" s="123"/>
      <c r="F779" s="123"/>
      <c r="H779" s="123"/>
      <c r="J779" s="123"/>
      <c r="L779" s="123"/>
      <c r="N779" s="123"/>
    </row>
    <row r="780" ht="15.75" hidden="1" customHeight="1">
      <c r="B780" s="123"/>
      <c r="D780" s="123"/>
      <c r="F780" s="123"/>
      <c r="H780" s="123"/>
      <c r="J780" s="123"/>
      <c r="L780" s="123"/>
      <c r="N780" s="123"/>
    </row>
    <row r="781" ht="15.75" hidden="1" customHeight="1">
      <c r="B781" s="123"/>
      <c r="D781" s="123"/>
      <c r="F781" s="123"/>
      <c r="H781" s="123"/>
      <c r="J781" s="123"/>
      <c r="L781" s="123"/>
      <c r="N781" s="123"/>
    </row>
    <row r="782" ht="15.75" hidden="1" customHeight="1">
      <c r="B782" s="123"/>
      <c r="D782" s="123"/>
      <c r="F782" s="123"/>
      <c r="H782" s="123"/>
      <c r="J782" s="123"/>
      <c r="L782" s="123"/>
      <c r="N782" s="123"/>
    </row>
    <row r="783" ht="15.75" hidden="1" customHeight="1">
      <c r="B783" s="123"/>
      <c r="D783" s="123"/>
      <c r="F783" s="123"/>
      <c r="H783" s="123"/>
      <c r="J783" s="123"/>
      <c r="L783" s="123"/>
      <c r="N783" s="123"/>
    </row>
    <row r="784" ht="15.75" hidden="1" customHeight="1">
      <c r="B784" s="123"/>
      <c r="D784" s="123"/>
      <c r="F784" s="123"/>
      <c r="H784" s="123"/>
      <c r="J784" s="123"/>
      <c r="L784" s="123"/>
      <c r="N784" s="123"/>
    </row>
    <row r="785" ht="15.75" hidden="1" customHeight="1">
      <c r="B785" s="123"/>
      <c r="D785" s="123"/>
      <c r="F785" s="123"/>
      <c r="H785" s="123"/>
      <c r="J785" s="123"/>
      <c r="L785" s="123"/>
      <c r="N785" s="123"/>
    </row>
    <row r="786" ht="15.75" hidden="1" customHeight="1">
      <c r="B786" s="123"/>
      <c r="D786" s="123"/>
      <c r="F786" s="123"/>
      <c r="H786" s="123"/>
      <c r="J786" s="123"/>
      <c r="L786" s="123"/>
      <c r="N786" s="123"/>
    </row>
    <row r="787" ht="15.75" hidden="1" customHeight="1">
      <c r="B787" s="123"/>
      <c r="D787" s="123"/>
      <c r="F787" s="123"/>
      <c r="H787" s="123"/>
      <c r="J787" s="123"/>
      <c r="L787" s="123"/>
      <c r="N787" s="123"/>
    </row>
    <row r="788" ht="15.75" hidden="1" customHeight="1">
      <c r="B788" s="123"/>
      <c r="D788" s="123"/>
      <c r="F788" s="123"/>
      <c r="H788" s="123"/>
      <c r="J788" s="123"/>
      <c r="L788" s="123"/>
      <c r="N788" s="123"/>
    </row>
    <row r="789" ht="15.75" hidden="1" customHeight="1">
      <c r="B789" s="123"/>
      <c r="D789" s="123"/>
      <c r="F789" s="123"/>
      <c r="H789" s="123"/>
      <c r="J789" s="123"/>
      <c r="L789" s="123"/>
      <c r="N789" s="123"/>
    </row>
    <row r="790" ht="15.75" hidden="1" customHeight="1">
      <c r="B790" s="123"/>
      <c r="D790" s="123"/>
      <c r="F790" s="123"/>
      <c r="H790" s="123"/>
      <c r="J790" s="123"/>
      <c r="L790" s="123"/>
      <c r="N790" s="123"/>
    </row>
    <row r="791" ht="15.75" hidden="1" customHeight="1">
      <c r="B791" s="123"/>
      <c r="D791" s="123"/>
      <c r="F791" s="123"/>
      <c r="H791" s="123"/>
      <c r="J791" s="123"/>
      <c r="L791" s="123"/>
      <c r="N791" s="123"/>
    </row>
    <row r="792" ht="15.75" hidden="1" customHeight="1">
      <c r="B792" s="123"/>
      <c r="D792" s="123"/>
      <c r="F792" s="123"/>
      <c r="H792" s="123"/>
      <c r="J792" s="123"/>
      <c r="L792" s="123"/>
      <c r="N792" s="123"/>
    </row>
    <row r="793" ht="15.75" hidden="1" customHeight="1">
      <c r="B793" s="123"/>
      <c r="D793" s="123"/>
      <c r="F793" s="123"/>
      <c r="H793" s="123"/>
      <c r="J793" s="123"/>
      <c r="L793" s="123"/>
      <c r="N793" s="123"/>
    </row>
    <row r="794" ht="15.75" hidden="1" customHeight="1">
      <c r="B794" s="123"/>
      <c r="D794" s="123"/>
      <c r="F794" s="123"/>
      <c r="H794" s="123"/>
      <c r="J794" s="123"/>
      <c r="L794" s="123"/>
      <c r="N794" s="123"/>
    </row>
    <row r="795" ht="15.75" hidden="1" customHeight="1">
      <c r="B795" s="123"/>
      <c r="D795" s="123"/>
      <c r="F795" s="123"/>
      <c r="H795" s="123"/>
      <c r="J795" s="123"/>
      <c r="L795" s="123"/>
      <c r="N795" s="123"/>
    </row>
    <row r="796" ht="15.75" hidden="1" customHeight="1">
      <c r="B796" s="123"/>
      <c r="D796" s="123"/>
      <c r="F796" s="123"/>
      <c r="H796" s="123"/>
      <c r="J796" s="123"/>
      <c r="L796" s="123"/>
      <c r="N796" s="123"/>
    </row>
    <row r="797" ht="15.75" hidden="1" customHeight="1">
      <c r="B797" s="123"/>
      <c r="D797" s="123"/>
      <c r="F797" s="123"/>
      <c r="H797" s="123"/>
      <c r="J797" s="123"/>
      <c r="L797" s="123"/>
      <c r="N797" s="123"/>
    </row>
    <row r="798" ht="15.75" hidden="1" customHeight="1">
      <c r="B798" s="123"/>
      <c r="D798" s="123"/>
      <c r="F798" s="123"/>
      <c r="H798" s="123"/>
      <c r="J798" s="123"/>
      <c r="L798" s="123"/>
      <c r="N798" s="123"/>
    </row>
    <row r="799" ht="15.75" hidden="1" customHeight="1">
      <c r="B799" s="123"/>
      <c r="D799" s="123"/>
      <c r="F799" s="123"/>
      <c r="H799" s="123"/>
      <c r="J799" s="123"/>
      <c r="L799" s="123"/>
      <c r="N799" s="123"/>
    </row>
    <row r="800" ht="15.75" hidden="1" customHeight="1">
      <c r="B800" s="123"/>
      <c r="D800" s="123"/>
      <c r="F800" s="123"/>
      <c r="H800" s="123"/>
      <c r="J800" s="123"/>
      <c r="L800" s="123"/>
      <c r="N800" s="123"/>
    </row>
    <row r="801" ht="15.75" hidden="1" customHeight="1">
      <c r="B801" s="123"/>
      <c r="D801" s="123"/>
      <c r="F801" s="123"/>
      <c r="H801" s="123"/>
      <c r="J801" s="123"/>
      <c r="L801" s="123"/>
      <c r="N801" s="123"/>
    </row>
    <row r="802" ht="15.75" hidden="1" customHeight="1">
      <c r="B802" s="123"/>
      <c r="D802" s="123"/>
      <c r="F802" s="123"/>
      <c r="H802" s="123"/>
      <c r="J802" s="123"/>
      <c r="L802" s="123"/>
      <c r="N802" s="123"/>
    </row>
    <row r="803" ht="15.75" hidden="1" customHeight="1">
      <c r="B803" s="123"/>
      <c r="D803" s="123"/>
      <c r="F803" s="123"/>
      <c r="H803" s="123"/>
      <c r="J803" s="123"/>
      <c r="L803" s="123"/>
      <c r="N803" s="123"/>
    </row>
    <row r="804" ht="15.75" hidden="1" customHeight="1">
      <c r="B804" s="123"/>
      <c r="D804" s="123"/>
      <c r="F804" s="123"/>
      <c r="H804" s="123"/>
      <c r="J804" s="123"/>
      <c r="L804" s="123"/>
      <c r="N804" s="123"/>
    </row>
    <row r="805" ht="15.75" hidden="1" customHeight="1">
      <c r="B805" s="123"/>
      <c r="D805" s="123"/>
      <c r="F805" s="123"/>
      <c r="H805" s="123"/>
      <c r="J805" s="123"/>
      <c r="L805" s="123"/>
      <c r="N805" s="123"/>
    </row>
    <row r="806" ht="15.75" hidden="1" customHeight="1">
      <c r="B806" s="123"/>
      <c r="D806" s="123"/>
      <c r="F806" s="123"/>
      <c r="H806" s="123"/>
      <c r="J806" s="123"/>
      <c r="L806" s="123"/>
      <c r="N806" s="123"/>
    </row>
    <row r="807" ht="15.75" hidden="1" customHeight="1">
      <c r="B807" s="123"/>
      <c r="D807" s="123"/>
      <c r="F807" s="123"/>
      <c r="H807" s="123"/>
      <c r="J807" s="123"/>
      <c r="L807" s="123"/>
      <c r="N807" s="123"/>
    </row>
    <row r="808" ht="15.75" hidden="1" customHeight="1">
      <c r="B808" s="123"/>
      <c r="D808" s="123"/>
      <c r="F808" s="123"/>
      <c r="H808" s="123"/>
      <c r="J808" s="123"/>
      <c r="L808" s="123"/>
      <c r="N808" s="123"/>
    </row>
    <row r="809" ht="15.75" hidden="1" customHeight="1">
      <c r="B809" s="123"/>
      <c r="D809" s="123"/>
      <c r="F809" s="123"/>
      <c r="H809" s="123"/>
      <c r="J809" s="123"/>
      <c r="L809" s="123"/>
      <c r="N809" s="123"/>
    </row>
    <row r="810" ht="15.75" hidden="1" customHeight="1">
      <c r="B810" s="123"/>
      <c r="D810" s="123"/>
      <c r="F810" s="123"/>
      <c r="H810" s="123"/>
      <c r="J810" s="123"/>
      <c r="L810" s="123"/>
      <c r="N810" s="123"/>
    </row>
    <row r="811" ht="15.75" hidden="1" customHeight="1">
      <c r="B811" s="123"/>
      <c r="D811" s="123"/>
      <c r="F811" s="123"/>
      <c r="H811" s="123"/>
      <c r="J811" s="123"/>
      <c r="L811" s="123"/>
      <c r="N811" s="123"/>
    </row>
    <row r="812" ht="15.75" hidden="1" customHeight="1">
      <c r="B812" s="123"/>
      <c r="D812" s="123"/>
      <c r="F812" s="123"/>
      <c r="H812" s="123"/>
      <c r="J812" s="123"/>
      <c r="L812" s="123"/>
      <c r="N812" s="123"/>
    </row>
    <row r="813" ht="15.75" hidden="1" customHeight="1">
      <c r="B813" s="123"/>
      <c r="D813" s="123"/>
      <c r="F813" s="123"/>
      <c r="H813" s="123"/>
      <c r="J813" s="123"/>
      <c r="L813" s="123"/>
      <c r="N813" s="123"/>
    </row>
    <row r="814" ht="15.75" hidden="1" customHeight="1">
      <c r="B814" s="123"/>
      <c r="D814" s="123"/>
      <c r="F814" s="123"/>
      <c r="H814" s="123"/>
      <c r="J814" s="123"/>
      <c r="L814" s="123"/>
      <c r="N814" s="123"/>
    </row>
    <row r="815" ht="15.75" hidden="1" customHeight="1">
      <c r="B815" s="123"/>
      <c r="D815" s="123"/>
      <c r="F815" s="123"/>
      <c r="H815" s="123"/>
      <c r="J815" s="123"/>
      <c r="L815" s="123"/>
      <c r="N815" s="123"/>
    </row>
    <row r="816" ht="15.75" hidden="1" customHeight="1">
      <c r="B816" s="123"/>
      <c r="D816" s="123"/>
      <c r="F816" s="123"/>
      <c r="H816" s="123"/>
      <c r="J816" s="123"/>
      <c r="L816" s="123"/>
      <c r="N816" s="123"/>
    </row>
    <row r="817" ht="15.75" hidden="1" customHeight="1">
      <c r="B817" s="123"/>
      <c r="D817" s="123"/>
      <c r="F817" s="123"/>
      <c r="H817" s="123"/>
      <c r="J817" s="123"/>
      <c r="L817" s="123"/>
      <c r="N817" s="123"/>
    </row>
    <row r="818" ht="15.75" hidden="1" customHeight="1">
      <c r="B818" s="123"/>
      <c r="D818" s="123"/>
      <c r="F818" s="123"/>
      <c r="H818" s="123"/>
      <c r="J818" s="123"/>
      <c r="L818" s="123"/>
      <c r="N818" s="123"/>
    </row>
    <row r="819" ht="15.75" hidden="1" customHeight="1">
      <c r="B819" s="123"/>
      <c r="D819" s="123"/>
      <c r="F819" s="123"/>
      <c r="H819" s="123"/>
      <c r="J819" s="123"/>
      <c r="L819" s="123"/>
      <c r="N819" s="123"/>
    </row>
    <row r="820" ht="15.75" hidden="1" customHeight="1">
      <c r="B820" s="123"/>
      <c r="D820" s="123"/>
      <c r="F820" s="123"/>
      <c r="H820" s="123"/>
      <c r="J820" s="123"/>
      <c r="L820" s="123"/>
      <c r="N820" s="123"/>
    </row>
    <row r="821" ht="15.75" hidden="1" customHeight="1">
      <c r="B821" s="123"/>
      <c r="D821" s="123"/>
      <c r="F821" s="123"/>
      <c r="H821" s="123"/>
      <c r="J821" s="123"/>
      <c r="L821" s="123"/>
      <c r="N821" s="123"/>
    </row>
    <row r="822" ht="15.75" hidden="1" customHeight="1">
      <c r="B822" s="123"/>
      <c r="D822" s="123"/>
      <c r="F822" s="123"/>
      <c r="H822" s="123"/>
      <c r="J822" s="123"/>
      <c r="L822" s="123"/>
      <c r="N822" s="123"/>
    </row>
    <row r="823" ht="15.75" hidden="1" customHeight="1">
      <c r="B823" s="123"/>
      <c r="D823" s="123"/>
      <c r="F823" s="123"/>
      <c r="H823" s="123"/>
      <c r="J823" s="123"/>
      <c r="L823" s="123"/>
      <c r="N823" s="123"/>
    </row>
    <row r="824" ht="15.75" hidden="1" customHeight="1">
      <c r="B824" s="123"/>
      <c r="D824" s="123"/>
      <c r="F824" s="123"/>
      <c r="H824" s="123"/>
      <c r="J824" s="123"/>
      <c r="L824" s="123"/>
      <c r="N824" s="123"/>
    </row>
    <row r="825" ht="15.75" hidden="1" customHeight="1">
      <c r="B825" s="123"/>
      <c r="D825" s="123"/>
      <c r="F825" s="123"/>
      <c r="H825" s="123"/>
      <c r="J825" s="123"/>
      <c r="L825" s="123"/>
      <c r="N825" s="123"/>
    </row>
    <row r="826" ht="15.75" hidden="1" customHeight="1">
      <c r="B826" s="123"/>
      <c r="D826" s="123"/>
      <c r="F826" s="123"/>
      <c r="H826" s="123"/>
      <c r="J826" s="123"/>
      <c r="L826" s="123"/>
      <c r="N826" s="123"/>
    </row>
    <row r="827" ht="15.75" hidden="1" customHeight="1">
      <c r="B827" s="123"/>
      <c r="D827" s="123"/>
      <c r="F827" s="123"/>
      <c r="H827" s="123"/>
      <c r="J827" s="123"/>
      <c r="L827" s="123"/>
      <c r="N827" s="123"/>
    </row>
    <row r="828" ht="15.75" hidden="1" customHeight="1">
      <c r="B828" s="123"/>
      <c r="D828" s="123"/>
      <c r="F828" s="123"/>
      <c r="H828" s="123"/>
      <c r="J828" s="123"/>
      <c r="L828" s="123"/>
      <c r="N828" s="123"/>
    </row>
    <row r="829" ht="15.75" hidden="1" customHeight="1">
      <c r="B829" s="123"/>
      <c r="D829" s="123"/>
      <c r="F829" s="123"/>
      <c r="H829" s="123"/>
      <c r="J829" s="123"/>
      <c r="L829" s="123"/>
      <c r="N829" s="123"/>
    </row>
    <row r="830" ht="15.75" hidden="1" customHeight="1">
      <c r="B830" s="123"/>
      <c r="D830" s="123"/>
      <c r="F830" s="123"/>
      <c r="H830" s="123"/>
      <c r="J830" s="123"/>
      <c r="L830" s="123"/>
      <c r="N830" s="123"/>
    </row>
    <row r="831" ht="15.75" hidden="1" customHeight="1">
      <c r="B831" s="123"/>
      <c r="D831" s="123"/>
      <c r="F831" s="123"/>
      <c r="H831" s="123"/>
      <c r="J831" s="123"/>
      <c r="L831" s="123"/>
      <c r="N831" s="123"/>
    </row>
    <row r="832" ht="15.75" hidden="1" customHeight="1">
      <c r="B832" s="123"/>
      <c r="D832" s="123"/>
      <c r="F832" s="123"/>
      <c r="H832" s="123"/>
      <c r="J832" s="123"/>
      <c r="L832" s="123"/>
      <c r="N832" s="123"/>
    </row>
    <row r="833" ht="15.75" hidden="1" customHeight="1">
      <c r="B833" s="123"/>
      <c r="D833" s="123"/>
      <c r="F833" s="123"/>
      <c r="H833" s="123"/>
      <c r="J833" s="123"/>
      <c r="L833" s="123"/>
      <c r="N833" s="123"/>
    </row>
    <row r="834" ht="15.75" hidden="1" customHeight="1">
      <c r="B834" s="123"/>
      <c r="D834" s="123"/>
      <c r="F834" s="123"/>
      <c r="H834" s="123"/>
      <c r="J834" s="123"/>
      <c r="L834" s="123"/>
      <c r="N834" s="123"/>
    </row>
    <row r="835" ht="15.75" hidden="1" customHeight="1">
      <c r="B835" s="123"/>
      <c r="D835" s="123"/>
      <c r="F835" s="123"/>
      <c r="H835" s="123"/>
      <c r="J835" s="123"/>
      <c r="L835" s="123"/>
      <c r="N835" s="123"/>
    </row>
    <row r="836" ht="15.75" hidden="1" customHeight="1">
      <c r="B836" s="123"/>
      <c r="D836" s="123"/>
      <c r="F836" s="123"/>
      <c r="H836" s="123"/>
      <c r="J836" s="123"/>
      <c r="L836" s="123"/>
      <c r="N836" s="123"/>
    </row>
    <row r="837" ht="15.75" hidden="1" customHeight="1">
      <c r="B837" s="123"/>
      <c r="D837" s="123"/>
      <c r="F837" s="123"/>
      <c r="H837" s="123"/>
      <c r="J837" s="123"/>
      <c r="L837" s="123"/>
      <c r="N837" s="123"/>
    </row>
    <row r="838" ht="15.75" hidden="1" customHeight="1">
      <c r="B838" s="123"/>
      <c r="D838" s="123"/>
      <c r="F838" s="123"/>
      <c r="H838" s="123"/>
      <c r="J838" s="123"/>
      <c r="L838" s="123"/>
      <c r="N838" s="123"/>
    </row>
    <row r="839" ht="15.75" hidden="1" customHeight="1">
      <c r="B839" s="123"/>
      <c r="D839" s="123"/>
      <c r="F839" s="123"/>
      <c r="H839" s="123"/>
      <c r="J839" s="123"/>
      <c r="L839" s="123"/>
      <c r="N839" s="123"/>
    </row>
    <row r="840" ht="15.75" hidden="1" customHeight="1">
      <c r="B840" s="123"/>
      <c r="D840" s="123"/>
      <c r="F840" s="123"/>
      <c r="H840" s="123"/>
      <c r="J840" s="123"/>
      <c r="L840" s="123"/>
      <c r="N840" s="123"/>
    </row>
    <row r="841" ht="15.75" hidden="1" customHeight="1">
      <c r="B841" s="123"/>
      <c r="D841" s="123"/>
      <c r="F841" s="123"/>
      <c r="H841" s="123"/>
      <c r="J841" s="123"/>
      <c r="L841" s="123"/>
      <c r="N841" s="123"/>
    </row>
    <row r="842" ht="15.75" hidden="1" customHeight="1">
      <c r="B842" s="123"/>
      <c r="D842" s="123"/>
      <c r="F842" s="123"/>
      <c r="H842" s="123"/>
      <c r="J842" s="123"/>
      <c r="L842" s="123"/>
      <c r="N842" s="123"/>
    </row>
    <row r="843" ht="15.75" hidden="1" customHeight="1">
      <c r="B843" s="123"/>
      <c r="D843" s="123"/>
      <c r="F843" s="123"/>
      <c r="H843" s="123"/>
      <c r="J843" s="123"/>
      <c r="L843" s="123"/>
      <c r="N843" s="123"/>
    </row>
    <row r="844" ht="15.75" hidden="1" customHeight="1">
      <c r="B844" s="123"/>
      <c r="D844" s="123"/>
      <c r="F844" s="123"/>
      <c r="H844" s="123"/>
      <c r="J844" s="123"/>
      <c r="L844" s="123"/>
      <c r="N844" s="123"/>
    </row>
    <row r="845" ht="15.75" hidden="1" customHeight="1">
      <c r="B845" s="123"/>
      <c r="D845" s="123"/>
      <c r="F845" s="123"/>
      <c r="H845" s="123"/>
      <c r="J845" s="123"/>
      <c r="L845" s="123"/>
      <c r="N845" s="123"/>
    </row>
    <row r="846" ht="15.75" hidden="1" customHeight="1">
      <c r="B846" s="123"/>
      <c r="D846" s="123"/>
      <c r="F846" s="123"/>
      <c r="H846" s="123"/>
      <c r="J846" s="123"/>
      <c r="L846" s="123"/>
      <c r="N846" s="123"/>
    </row>
    <row r="847" ht="15.75" hidden="1" customHeight="1">
      <c r="B847" s="123"/>
      <c r="D847" s="123"/>
      <c r="F847" s="123"/>
      <c r="H847" s="123"/>
      <c r="J847" s="123"/>
      <c r="L847" s="123"/>
      <c r="N847" s="123"/>
    </row>
    <row r="848" ht="15.75" hidden="1" customHeight="1">
      <c r="B848" s="123"/>
      <c r="D848" s="123"/>
      <c r="F848" s="123"/>
      <c r="H848" s="123"/>
      <c r="J848" s="123"/>
      <c r="L848" s="123"/>
      <c r="N848" s="123"/>
    </row>
    <row r="849" ht="15.75" hidden="1" customHeight="1">
      <c r="B849" s="123"/>
      <c r="D849" s="123"/>
      <c r="F849" s="123"/>
      <c r="H849" s="123"/>
      <c r="J849" s="123"/>
      <c r="L849" s="123"/>
      <c r="N849" s="123"/>
    </row>
    <row r="850" ht="15.75" hidden="1" customHeight="1">
      <c r="B850" s="123"/>
      <c r="D850" s="123"/>
      <c r="F850" s="123"/>
      <c r="H850" s="123"/>
      <c r="J850" s="123"/>
      <c r="L850" s="123"/>
      <c r="N850" s="123"/>
    </row>
    <row r="851" ht="15.75" hidden="1" customHeight="1">
      <c r="B851" s="123"/>
      <c r="D851" s="123"/>
      <c r="F851" s="123"/>
      <c r="H851" s="123"/>
      <c r="J851" s="123"/>
      <c r="L851" s="123"/>
      <c r="N851" s="123"/>
    </row>
    <row r="852" ht="15.75" hidden="1" customHeight="1">
      <c r="B852" s="123"/>
      <c r="D852" s="123"/>
      <c r="F852" s="123"/>
      <c r="H852" s="123"/>
      <c r="J852" s="123"/>
      <c r="L852" s="123"/>
      <c r="N852" s="123"/>
    </row>
    <row r="853" ht="15.75" hidden="1" customHeight="1">
      <c r="B853" s="123"/>
      <c r="D853" s="123"/>
      <c r="F853" s="123"/>
      <c r="H853" s="123"/>
      <c r="J853" s="123"/>
      <c r="L853" s="123"/>
      <c r="N853" s="123"/>
    </row>
    <row r="854" ht="15.75" hidden="1" customHeight="1">
      <c r="B854" s="123"/>
      <c r="D854" s="123"/>
      <c r="F854" s="123"/>
      <c r="H854" s="123"/>
      <c r="J854" s="123"/>
      <c r="L854" s="123"/>
      <c r="N854" s="123"/>
    </row>
    <row r="855" ht="15.75" hidden="1" customHeight="1">
      <c r="B855" s="123"/>
      <c r="D855" s="123"/>
      <c r="F855" s="123"/>
      <c r="H855" s="123"/>
      <c r="J855" s="123"/>
      <c r="L855" s="123"/>
      <c r="N855" s="123"/>
    </row>
    <row r="856" ht="15.75" hidden="1" customHeight="1">
      <c r="B856" s="123"/>
      <c r="D856" s="123"/>
      <c r="F856" s="123"/>
      <c r="H856" s="123"/>
      <c r="J856" s="123"/>
      <c r="L856" s="123"/>
      <c r="N856" s="123"/>
    </row>
    <row r="857" ht="15.75" hidden="1" customHeight="1">
      <c r="B857" s="123"/>
      <c r="D857" s="123"/>
      <c r="F857" s="123"/>
      <c r="H857" s="123"/>
      <c r="J857" s="123"/>
      <c r="L857" s="123"/>
      <c r="N857" s="123"/>
    </row>
    <row r="858" ht="15.75" hidden="1" customHeight="1">
      <c r="B858" s="123"/>
      <c r="D858" s="123"/>
      <c r="F858" s="123"/>
      <c r="H858" s="123"/>
      <c r="J858" s="123"/>
      <c r="L858" s="123"/>
      <c r="N858" s="123"/>
    </row>
    <row r="859" ht="15.75" hidden="1" customHeight="1">
      <c r="B859" s="123"/>
      <c r="D859" s="123"/>
      <c r="F859" s="123"/>
      <c r="H859" s="123"/>
      <c r="J859" s="123"/>
      <c r="L859" s="123"/>
      <c r="N859" s="123"/>
    </row>
    <row r="860" ht="15.75" hidden="1" customHeight="1">
      <c r="B860" s="123"/>
      <c r="D860" s="123"/>
      <c r="F860" s="123"/>
      <c r="H860" s="123"/>
      <c r="J860" s="123"/>
      <c r="L860" s="123"/>
      <c r="N860" s="123"/>
    </row>
    <row r="861" ht="15.75" hidden="1" customHeight="1">
      <c r="B861" s="123"/>
      <c r="D861" s="123"/>
      <c r="F861" s="123"/>
      <c r="H861" s="123"/>
      <c r="J861" s="123"/>
      <c r="L861" s="123"/>
      <c r="N861" s="123"/>
    </row>
    <row r="862" ht="15.75" hidden="1" customHeight="1">
      <c r="B862" s="123"/>
      <c r="D862" s="123"/>
      <c r="F862" s="123"/>
      <c r="H862" s="123"/>
      <c r="J862" s="123"/>
      <c r="L862" s="123"/>
      <c r="N862" s="123"/>
    </row>
    <row r="863" ht="15.75" hidden="1" customHeight="1">
      <c r="B863" s="123"/>
      <c r="D863" s="123"/>
      <c r="F863" s="123"/>
      <c r="H863" s="123"/>
      <c r="J863" s="123"/>
      <c r="L863" s="123"/>
      <c r="N863" s="123"/>
    </row>
    <row r="864" ht="15.75" hidden="1" customHeight="1">
      <c r="B864" s="123"/>
      <c r="D864" s="123"/>
      <c r="F864" s="123"/>
      <c r="H864" s="123"/>
      <c r="J864" s="123"/>
      <c r="L864" s="123"/>
      <c r="N864" s="123"/>
    </row>
    <row r="865" ht="15.75" hidden="1" customHeight="1">
      <c r="B865" s="123"/>
      <c r="D865" s="123"/>
      <c r="F865" s="123"/>
      <c r="H865" s="123"/>
      <c r="J865" s="123"/>
      <c r="L865" s="123"/>
      <c r="N865" s="123"/>
    </row>
    <row r="866" ht="15.75" hidden="1" customHeight="1">
      <c r="B866" s="123"/>
      <c r="D866" s="123"/>
      <c r="F866" s="123"/>
      <c r="H866" s="123"/>
      <c r="J866" s="123"/>
      <c r="L866" s="123"/>
      <c r="N866" s="123"/>
    </row>
    <row r="867" ht="15.75" hidden="1" customHeight="1">
      <c r="B867" s="123"/>
      <c r="D867" s="123"/>
      <c r="F867" s="123"/>
      <c r="H867" s="123"/>
      <c r="J867" s="123"/>
      <c r="L867" s="123"/>
      <c r="N867" s="123"/>
    </row>
    <row r="868" ht="15.75" hidden="1" customHeight="1">
      <c r="B868" s="123"/>
      <c r="D868" s="123"/>
      <c r="F868" s="123"/>
      <c r="H868" s="123"/>
      <c r="J868" s="123"/>
      <c r="L868" s="123"/>
      <c r="N868" s="123"/>
    </row>
    <row r="869" ht="15.75" hidden="1" customHeight="1">
      <c r="B869" s="123"/>
      <c r="D869" s="123"/>
      <c r="F869" s="123"/>
      <c r="H869" s="123"/>
      <c r="J869" s="123"/>
      <c r="L869" s="123"/>
      <c r="N869" s="123"/>
    </row>
    <row r="870" ht="15.75" hidden="1" customHeight="1">
      <c r="B870" s="123"/>
      <c r="D870" s="123"/>
      <c r="F870" s="123"/>
      <c r="H870" s="123"/>
      <c r="J870" s="123"/>
      <c r="L870" s="123"/>
      <c r="N870" s="123"/>
    </row>
    <row r="871" ht="15.75" hidden="1" customHeight="1">
      <c r="B871" s="123"/>
      <c r="D871" s="123"/>
      <c r="F871" s="123"/>
      <c r="H871" s="123"/>
      <c r="J871" s="123"/>
      <c r="L871" s="123"/>
      <c r="N871" s="123"/>
    </row>
    <row r="872" ht="15.75" hidden="1" customHeight="1">
      <c r="B872" s="123"/>
      <c r="D872" s="123"/>
      <c r="F872" s="123"/>
      <c r="H872" s="123"/>
      <c r="J872" s="123"/>
      <c r="L872" s="123"/>
      <c r="N872" s="123"/>
    </row>
    <row r="873" ht="15.75" hidden="1" customHeight="1">
      <c r="B873" s="123"/>
      <c r="D873" s="123"/>
      <c r="F873" s="123"/>
      <c r="H873" s="123"/>
      <c r="J873" s="123"/>
      <c r="L873" s="123"/>
      <c r="N873" s="123"/>
    </row>
    <row r="874" ht="15.75" hidden="1" customHeight="1">
      <c r="B874" s="123"/>
      <c r="D874" s="123"/>
      <c r="F874" s="123"/>
      <c r="H874" s="123"/>
      <c r="J874" s="123"/>
      <c r="L874" s="123"/>
      <c r="N874" s="123"/>
    </row>
    <row r="875" ht="15.75" hidden="1" customHeight="1">
      <c r="B875" s="123"/>
      <c r="D875" s="123"/>
      <c r="F875" s="123"/>
      <c r="H875" s="123"/>
      <c r="J875" s="123"/>
      <c r="L875" s="123"/>
      <c r="N875" s="123"/>
    </row>
    <row r="876" ht="15.75" hidden="1" customHeight="1">
      <c r="B876" s="123"/>
      <c r="D876" s="123"/>
      <c r="F876" s="123"/>
      <c r="H876" s="123"/>
      <c r="J876" s="123"/>
      <c r="L876" s="123"/>
      <c r="N876" s="123"/>
    </row>
    <row r="877" ht="15.75" hidden="1" customHeight="1">
      <c r="B877" s="123"/>
      <c r="D877" s="123"/>
      <c r="F877" s="123"/>
      <c r="H877" s="123"/>
      <c r="J877" s="123"/>
      <c r="L877" s="123"/>
      <c r="N877" s="123"/>
    </row>
    <row r="878" ht="15.75" hidden="1" customHeight="1">
      <c r="B878" s="123"/>
      <c r="D878" s="123"/>
      <c r="F878" s="123"/>
      <c r="H878" s="123"/>
      <c r="J878" s="123"/>
      <c r="L878" s="123"/>
      <c r="N878" s="123"/>
    </row>
    <row r="879" ht="15.75" hidden="1" customHeight="1">
      <c r="B879" s="123"/>
      <c r="D879" s="123"/>
      <c r="F879" s="123"/>
      <c r="H879" s="123"/>
      <c r="J879" s="123"/>
      <c r="L879" s="123"/>
      <c r="N879" s="123"/>
    </row>
    <row r="880" ht="15.75" hidden="1" customHeight="1">
      <c r="B880" s="123"/>
      <c r="D880" s="123"/>
      <c r="F880" s="123"/>
      <c r="H880" s="123"/>
      <c r="J880" s="123"/>
      <c r="L880" s="123"/>
      <c r="N880" s="123"/>
    </row>
    <row r="881" ht="15.75" hidden="1" customHeight="1">
      <c r="B881" s="123"/>
      <c r="D881" s="123"/>
      <c r="F881" s="123"/>
      <c r="H881" s="123"/>
      <c r="J881" s="123"/>
      <c r="L881" s="123"/>
      <c r="N881" s="123"/>
    </row>
    <row r="882" ht="15.75" hidden="1" customHeight="1">
      <c r="B882" s="123"/>
      <c r="D882" s="123"/>
      <c r="F882" s="123"/>
      <c r="H882" s="123"/>
      <c r="J882" s="123"/>
      <c r="L882" s="123"/>
      <c r="N882" s="123"/>
    </row>
    <row r="883" ht="15.75" hidden="1" customHeight="1">
      <c r="B883" s="123"/>
      <c r="D883" s="123"/>
      <c r="F883" s="123"/>
      <c r="H883" s="123"/>
      <c r="J883" s="123"/>
      <c r="L883" s="123"/>
      <c r="N883" s="123"/>
    </row>
    <row r="884" ht="15.75" hidden="1" customHeight="1">
      <c r="B884" s="123"/>
      <c r="D884" s="123"/>
      <c r="F884" s="123"/>
      <c r="H884" s="123"/>
      <c r="J884" s="123"/>
      <c r="L884" s="123"/>
      <c r="N884" s="123"/>
    </row>
    <row r="885" ht="15.75" hidden="1" customHeight="1">
      <c r="B885" s="123"/>
      <c r="D885" s="123"/>
      <c r="F885" s="123"/>
      <c r="H885" s="123"/>
      <c r="J885" s="123"/>
      <c r="L885" s="123"/>
      <c r="N885" s="123"/>
    </row>
    <row r="886" ht="15.75" hidden="1" customHeight="1">
      <c r="B886" s="123"/>
      <c r="D886" s="123"/>
      <c r="F886" s="123"/>
      <c r="H886" s="123"/>
      <c r="J886" s="123"/>
      <c r="L886" s="123"/>
      <c r="N886" s="123"/>
    </row>
    <row r="887" ht="15.75" hidden="1" customHeight="1">
      <c r="B887" s="123"/>
      <c r="D887" s="123"/>
      <c r="F887" s="123"/>
      <c r="H887" s="123"/>
      <c r="J887" s="123"/>
      <c r="L887" s="123"/>
      <c r="N887" s="123"/>
    </row>
    <row r="888" ht="15.75" hidden="1" customHeight="1">
      <c r="B888" s="123"/>
      <c r="D888" s="123"/>
      <c r="F888" s="123"/>
      <c r="H888" s="123"/>
      <c r="J888" s="123"/>
      <c r="L888" s="123"/>
      <c r="N888" s="123"/>
    </row>
    <row r="889" ht="15.75" hidden="1" customHeight="1">
      <c r="B889" s="123"/>
      <c r="D889" s="123"/>
      <c r="F889" s="123"/>
      <c r="H889" s="123"/>
      <c r="J889" s="123"/>
      <c r="L889" s="123"/>
      <c r="N889" s="123"/>
    </row>
    <row r="890" ht="15.75" hidden="1" customHeight="1">
      <c r="B890" s="123"/>
      <c r="D890" s="123"/>
      <c r="F890" s="123"/>
      <c r="H890" s="123"/>
      <c r="J890" s="123"/>
      <c r="L890" s="123"/>
      <c r="N890" s="123"/>
    </row>
    <row r="891" ht="15.75" hidden="1" customHeight="1">
      <c r="B891" s="123"/>
      <c r="D891" s="123"/>
      <c r="F891" s="123"/>
      <c r="H891" s="123"/>
      <c r="J891" s="123"/>
      <c r="L891" s="123"/>
      <c r="N891" s="123"/>
    </row>
    <row r="892" ht="15.75" hidden="1" customHeight="1">
      <c r="B892" s="123"/>
      <c r="D892" s="123"/>
      <c r="F892" s="123"/>
      <c r="H892" s="123"/>
      <c r="J892" s="123"/>
      <c r="L892" s="123"/>
      <c r="N892" s="123"/>
    </row>
    <row r="893" ht="15.75" hidden="1" customHeight="1">
      <c r="B893" s="123"/>
      <c r="D893" s="123"/>
      <c r="F893" s="123"/>
      <c r="H893" s="123"/>
      <c r="J893" s="123"/>
      <c r="L893" s="123"/>
      <c r="N893" s="123"/>
    </row>
    <row r="894" ht="15.75" hidden="1" customHeight="1">
      <c r="B894" s="123"/>
      <c r="D894" s="123"/>
      <c r="F894" s="123"/>
      <c r="H894" s="123"/>
      <c r="J894" s="123"/>
      <c r="L894" s="123"/>
      <c r="N894" s="123"/>
    </row>
    <row r="895" ht="15.75" hidden="1" customHeight="1">
      <c r="B895" s="123"/>
      <c r="D895" s="123"/>
      <c r="F895" s="123"/>
      <c r="H895" s="123"/>
      <c r="J895" s="123"/>
      <c r="L895" s="123"/>
      <c r="N895" s="123"/>
    </row>
    <row r="896" ht="15.75" hidden="1" customHeight="1">
      <c r="B896" s="123"/>
      <c r="D896" s="123"/>
      <c r="F896" s="123"/>
      <c r="H896" s="123"/>
      <c r="J896" s="123"/>
      <c r="L896" s="123"/>
      <c r="N896" s="123"/>
    </row>
    <row r="897" ht="15.75" hidden="1" customHeight="1">
      <c r="B897" s="123"/>
      <c r="D897" s="123"/>
      <c r="F897" s="123"/>
      <c r="H897" s="123"/>
      <c r="J897" s="123"/>
      <c r="L897" s="123"/>
      <c r="N897" s="123"/>
    </row>
    <row r="898" ht="15.75" hidden="1" customHeight="1">
      <c r="B898" s="123"/>
      <c r="D898" s="123"/>
      <c r="F898" s="123"/>
      <c r="H898" s="123"/>
      <c r="J898" s="123"/>
      <c r="L898" s="123"/>
      <c r="N898" s="123"/>
    </row>
    <row r="899" ht="15.75" hidden="1" customHeight="1">
      <c r="B899" s="123"/>
      <c r="D899" s="123"/>
      <c r="F899" s="123"/>
      <c r="H899" s="123"/>
      <c r="J899" s="123"/>
      <c r="L899" s="123"/>
      <c r="N899" s="123"/>
    </row>
    <row r="900" ht="15.75" hidden="1" customHeight="1">
      <c r="B900" s="123"/>
      <c r="D900" s="123"/>
      <c r="F900" s="123"/>
      <c r="H900" s="123"/>
      <c r="J900" s="123"/>
      <c r="L900" s="123"/>
      <c r="N900" s="123"/>
    </row>
    <row r="901" ht="15.75" hidden="1" customHeight="1">
      <c r="B901" s="123"/>
      <c r="D901" s="123"/>
      <c r="F901" s="123"/>
      <c r="H901" s="123"/>
      <c r="J901" s="123"/>
      <c r="L901" s="123"/>
      <c r="N901" s="123"/>
    </row>
    <row r="902" ht="15.75" hidden="1" customHeight="1">
      <c r="B902" s="123"/>
      <c r="D902" s="123"/>
      <c r="F902" s="123"/>
      <c r="H902" s="123"/>
      <c r="J902" s="123"/>
      <c r="L902" s="123"/>
      <c r="N902" s="123"/>
    </row>
    <row r="903" ht="15.75" hidden="1" customHeight="1">
      <c r="B903" s="123"/>
      <c r="D903" s="123"/>
      <c r="F903" s="123"/>
      <c r="H903" s="123"/>
      <c r="J903" s="123"/>
      <c r="L903" s="123"/>
      <c r="N903" s="123"/>
    </row>
    <row r="904" ht="15.75" hidden="1" customHeight="1">
      <c r="B904" s="123"/>
      <c r="D904" s="123"/>
      <c r="F904" s="123"/>
      <c r="H904" s="123"/>
      <c r="J904" s="123"/>
      <c r="L904" s="123"/>
      <c r="N904" s="123"/>
    </row>
    <row r="905" ht="15.75" hidden="1" customHeight="1">
      <c r="B905" s="123"/>
      <c r="D905" s="123"/>
      <c r="F905" s="123"/>
      <c r="H905" s="123"/>
      <c r="J905" s="123"/>
      <c r="L905" s="123"/>
      <c r="N905" s="123"/>
    </row>
    <row r="906" ht="15.75" hidden="1" customHeight="1">
      <c r="B906" s="123"/>
      <c r="D906" s="123"/>
      <c r="F906" s="123"/>
      <c r="H906" s="123"/>
      <c r="J906" s="123"/>
      <c r="L906" s="123"/>
      <c r="N906" s="123"/>
    </row>
    <row r="907" ht="15.75" hidden="1" customHeight="1">
      <c r="B907" s="123"/>
      <c r="D907" s="123"/>
      <c r="F907" s="123"/>
      <c r="H907" s="123"/>
      <c r="J907" s="123"/>
      <c r="L907" s="123"/>
      <c r="N907" s="123"/>
    </row>
    <row r="908" ht="15.75" hidden="1" customHeight="1">
      <c r="B908" s="123"/>
      <c r="D908" s="123"/>
      <c r="F908" s="123"/>
      <c r="H908" s="123"/>
      <c r="J908" s="123"/>
      <c r="L908" s="123"/>
      <c r="N908" s="123"/>
    </row>
    <row r="909" ht="15.75" hidden="1" customHeight="1">
      <c r="B909" s="123"/>
      <c r="D909" s="123"/>
      <c r="F909" s="123"/>
      <c r="H909" s="123"/>
      <c r="J909" s="123"/>
      <c r="L909" s="123"/>
      <c r="N909" s="123"/>
    </row>
    <row r="910" ht="15.75" hidden="1" customHeight="1">
      <c r="B910" s="123"/>
      <c r="D910" s="123"/>
      <c r="F910" s="123"/>
      <c r="H910" s="123"/>
      <c r="J910" s="123"/>
      <c r="L910" s="123"/>
      <c r="N910" s="123"/>
    </row>
    <row r="911" ht="15.75" hidden="1" customHeight="1">
      <c r="B911" s="123"/>
      <c r="D911" s="123"/>
      <c r="F911" s="123"/>
      <c r="H911" s="123"/>
      <c r="J911" s="123"/>
      <c r="L911" s="123"/>
      <c r="N911" s="123"/>
    </row>
    <row r="912" ht="15.75" hidden="1" customHeight="1">
      <c r="B912" s="123"/>
      <c r="D912" s="123"/>
      <c r="F912" s="123"/>
      <c r="H912" s="123"/>
      <c r="J912" s="123"/>
      <c r="L912" s="123"/>
      <c r="N912" s="123"/>
    </row>
    <row r="913" ht="15.75" hidden="1" customHeight="1">
      <c r="B913" s="123"/>
      <c r="D913" s="123"/>
      <c r="F913" s="123"/>
      <c r="H913" s="123"/>
      <c r="J913" s="123"/>
      <c r="L913" s="123"/>
      <c r="N913" s="123"/>
    </row>
    <row r="914" ht="15.75" hidden="1" customHeight="1">
      <c r="B914" s="123"/>
      <c r="D914" s="123"/>
      <c r="F914" s="123"/>
      <c r="H914" s="123"/>
      <c r="J914" s="123"/>
      <c r="L914" s="123"/>
      <c r="N914" s="123"/>
    </row>
    <row r="915" ht="15.75" hidden="1" customHeight="1">
      <c r="B915" s="123"/>
      <c r="D915" s="123"/>
      <c r="F915" s="123"/>
      <c r="H915" s="123"/>
      <c r="J915" s="123"/>
      <c r="L915" s="123"/>
      <c r="N915" s="123"/>
    </row>
    <row r="916" ht="15.75" hidden="1" customHeight="1">
      <c r="B916" s="123"/>
      <c r="D916" s="123"/>
      <c r="F916" s="123"/>
      <c r="H916" s="123"/>
      <c r="J916" s="123"/>
      <c r="L916" s="123"/>
      <c r="N916" s="123"/>
    </row>
    <row r="917" ht="15.75" hidden="1" customHeight="1">
      <c r="B917" s="123"/>
      <c r="D917" s="123"/>
      <c r="F917" s="123"/>
      <c r="H917" s="123"/>
      <c r="J917" s="123"/>
      <c r="L917" s="123"/>
      <c r="N917" s="123"/>
    </row>
    <row r="918" ht="15.75" hidden="1" customHeight="1">
      <c r="B918" s="123"/>
      <c r="D918" s="123"/>
      <c r="F918" s="123"/>
      <c r="H918" s="123"/>
      <c r="J918" s="123"/>
      <c r="L918" s="123"/>
      <c r="N918" s="123"/>
    </row>
    <row r="919" ht="15.75" hidden="1" customHeight="1">
      <c r="B919" s="123"/>
      <c r="D919" s="123"/>
      <c r="F919" s="123"/>
      <c r="H919" s="123"/>
      <c r="J919" s="123"/>
      <c r="L919" s="123"/>
      <c r="N919" s="123"/>
    </row>
    <row r="920" ht="15.75" hidden="1" customHeight="1">
      <c r="B920" s="123"/>
      <c r="D920" s="123"/>
      <c r="F920" s="123"/>
      <c r="H920" s="123"/>
      <c r="J920" s="123"/>
      <c r="L920" s="123"/>
      <c r="N920" s="123"/>
    </row>
    <row r="921" ht="15.75" hidden="1" customHeight="1">
      <c r="B921" s="123"/>
      <c r="D921" s="123"/>
      <c r="F921" s="123"/>
      <c r="H921" s="123"/>
      <c r="J921" s="123"/>
      <c r="L921" s="123"/>
      <c r="N921" s="123"/>
    </row>
    <row r="922" ht="15.75" hidden="1" customHeight="1">
      <c r="B922" s="123"/>
      <c r="D922" s="123"/>
      <c r="F922" s="123"/>
      <c r="H922" s="123"/>
      <c r="J922" s="123"/>
      <c r="L922" s="123"/>
      <c r="N922" s="123"/>
    </row>
    <row r="923" ht="15.75" hidden="1" customHeight="1">
      <c r="B923" s="123"/>
      <c r="D923" s="123"/>
      <c r="F923" s="123"/>
      <c r="H923" s="123"/>
      <c r="J923" s="123"/>
      <c r="L923" s="123"/>
      <c r="N923" s="123"/>
    </row>
    <row r="924" ht="15.75" hidden="1" customHeight="1">
      <c r="B924" s="123"/>
      <c r="D924" s="123"/>
      <c r="F924" s="123"/>
      <c r="H924" s="123"/>
      <c r="J924" s="123"/>
      <c r="L924" s="123"/>
      <c r="N924" s="123"/>
    </row>
    <row r="925" ht="15.75" hidden="1" customHeight="1">
      <c r="B925" s="123"/>
      <c r="D925" s="123"/>
      <c r="F925" s="123"/>
      <c r="H925" s="123"/>
      <c r="J925" s="123"/>
      <c r="L925" s="123"/>
      <c r="N925" s="123"/>
    </row>
    <row r="926" ht="15.75" hidden="1" customHeight="1">
      <c r="B926" s="123"/>
      <c r="D926" s="123"/>
      <c r="F926" s="123"/>
      <c r="H926" s="123"/>
      <c r="J926" s="123"/>
      <c r="L926" s="123"/>
      <c r="N926" s="123"/>
    </row>
    <row r="927" ht="15.75" hidden="1" customHeight="1">
      <c r="B927" s="123"/>
      <c r="D927" s="123"/>
      <c r="F927" s="123"/>
      <c r="H927" s="123"/>
      <c r="J927" s="123"/>
      <c r="L927" s="123"/>
      <c r="N927" s="123"/>
    </row>
    <row r="928" ht="15.75" hidden="1" customHeight="1">
      <c r="B928" s="123"/>
      <c r="D928" s="123"/>
      <c r="F928" s="123"/>
      <c r="H928" s="123"/>
      <c r="J928" s="123"/>
      <c r="L928" s="123"/>
      <c r="N928" s="123"/>
    </row>
    <row r="929" ht="15.75" hidden="1" customHeight="1">
      <c r="B929" s="123"/>
      <c r="D929" s="123"/>
      <c r="F929" s="123"/>
      <c r="H929" s="123"/>
      <c r="J929" s="123"/>
      <c r="L929" s="123"/>
      <c r="N929" s="123"/>
    </row>
    <row r="930" ht="15.75" hidden="1" customHeight="1">
      <c r="B930" s="123"/>
      <c r="D930" s="123"/>
      <c r="F930" s="123"/>
      <c r="H930" s="123"/>
      <c r="J930" s="123"/>
      <c r="L930" s="123"/>
      <c r="N930" s="123"/>
    </row>
    <row r="931" ht="15.75" hidden="1" customHeight="1">
      <c r="B931" s="123"/>
      <c r="D931" s="123"/>
      <c r="F931" s="123"/>
      <c r="H931" s="123"/>
      <c r="J931" s="123"/>
      <c r="L931" s="123"/>
      <c r="N931" s="123"/>
    </row>
    <row r="932" ht="15.75" hidden="1" customHeight="1">
      <c r="B932" s="123"/>
      <c r="D932" s="123"/>
      <c r="F932" s="123"/>
      <c r="H932" s="123"/>
      <c r="J932" s="123"/>
      <c r="L932" s="123"/>
      <c r="N932" s="123"/>
    </row>
    <row r="933" ht="15.75" hidden="1" customHeight="1">
      <c r="B933" s="123"/>
      <c r="D933" s="123"/>
      <c r="F933" s="123"/>
      <c r="H933" s="123"/>
      <c r="J933" s="123"/>
      <c r="L933" s="123"/>
      <c r="N933" s="123"/>
    </row>
    <row r="934" ht="15.75" hidden="1" customHeight="1">
      <c r="B934" s="123"/>
      <c r="D934" s="123"/>
      <c r="F934" s="123"/>
      <c r="H934" s="123"/>
      <c r="J934" s="123"/>
      <c r="L934" s="123"/>
      <c r="N934" s="123"/>
    </row>
    <row r="935" ht="15.75" hidden="1" customHeight="1">
      <c r="B935" s="123"/>
      <c r="D935" s="123"/>
      <c r="F935" s="123"/>
      <c r="H935" s="123"/>
      <c r="J935" s="123"/>
      <c r="L935" s="123"/>
      <c r="N935" s="123"/>
    </row>
    <row r="936" ht="15.75" hidden="1" customHeight="1">
      <c r="B936" s="123"/>
      <c r="D936" s="123"/>
      <c r="F936" s="123"/>
      <c r="H936" s="123"/>
      <c r="J936" s="123"/>
      <c r="L936" s="123"/>
      <c r="N936" s="123"/>
    </row>
    <row r="937" ht="15.75" hidden="1" customHeight="1">
      <c r="B937" s="123"/>
      <c r="D937" s="123"/>
      <c r="F937" s="123"/>
      <c r="H937" s="123"/>
      <c r="J937" s="123"/>
      <c r="L937" s="123"/>
      <c r="N937" s="123"/>
    </row>
    <row r="938" ht="15.75" hidden="1" customHeight="1">
      <c r="B938" s="123"/>
      <c r="D938" s="123"/>
      <c r="F938" s="123"/>
      <c r="H938" s="123"/>
      <c r="J938" s="123"/>
      <c r="L938" s="123"/>
      <c r="N938" s="123"/>
    </row>
    <row r="939" ht="15.75" hidden="1" customHeight="1">
      <c r="B939" s="123"/>
      <c r="D939" s="123"/>
      <c r="F939" s="123"/>
      <c r="H939" s="123"/>
      <c r="J939" s="123"/>
      <c r="L939" s="123"/>
      <c r="N939" s="123"/>
    </row>
    <row r="940" ht="15.75" hidden="1" customHeight="1">
      <c r="B940" s="123"/>
      <c r="D940" s="123"/>
      <c r="F940" s="123"/>
      <c r="H940" s="123"/>
      <c r="J940" s="123"/>
      <c r="L940" s="123"/>
      <c r="N940" s="123"/>
    </row>
    <row r="941" ht="15.75" hidden="1" customHeight="1">
      <c r="B941" s="123"/>
      <c r="D941" s="123"/>
      <c r="F941" s="123"/>
      <c r="H941" s="123"/>
      <c r="J941" s="123"/>
      <c r="L941" s="123"/>
      <c r="N941" s="123"/>
    </row>
    <row r="942" ht="15.75" hidden="1" customHeight="1">
      <c r="B942" s="123"/>
      <c r="D942" s="123"/>
      <c r="F942" s="123"/>
      <c r="H942" s="123"/>
      <c r="J942" s="123"/>
      <c r="L942" s="123"/>
      <c r="N942" s="123"/>
    </row>
    <row r="943" ht="15.75" hidden="1" customHeight="1">
      <c r="B943" s="123"/>
      <c r="D943" s="123"/>
      <c r="F943" s="123"/>
      <c r="H943" s="123"/>
      <c r="J943" s="123"/>
      <c r="L943" s="123"/>
      <c r="N943" s="123"/>
    </row>
    <row r="944" ht="15.75" hidden="1" customHeight="1">
      <c r="B944" s="123"/>
      <c r="D944" s="123"/>
      <c r="F944" s="123"/>
      <c r="H944" s="123"/>
      <c r="J944" s="123"/>
      <c r="L944" s="123"/>
      <c r="N944" s="123"/>
    </row>
    <row r="945" ht="15.75" hidden="1" customHeight="1">
      <c r="B945" s="123"/>
      <c r="D945" s="123"/>
      <c r="F945" s="123"/>
      <c r="H945" s="123"/>
      <c r="J945" s="123"/>
      <c r="L945" s="123"/>
      <c r="N945" s="123"/>
    </row>
    <row r="946" ht="15.75" hidden="1" customHeight="1">
      <c r="B946" s="123"/>
      <c r="D946" s="123"/>
      <c r="F946" s="123"/>
      <c r="H946" s="123"/>
      <c r="J946" s="123"/>
      <c r="L946" s="123"/>
      <c r="N946" s="123"/>
    </row>
    <row r="947" ht="15.75" hidden="1" customHeight="1">
      <c r="B947" s="123"/>
      <c r="D947" s="123"/>
      <c r="F947" s="123"/>
      <c r="H947" s="123"/>
      <c r="J947" s="123"/>
      <c r="L947" s="123"/>
      <c r="N947" s="123"/>
    </row>
    <row r="948" ht="15.75" hidden="1" customHeight="1">
      <c r="B948" s="123"/>
      <c r="D948" s="123"/>
      <c r="F948" s="123"/>
      <c r="H948" s="123"/>
      <c r="J948" s="123"/>
      <c r="L948" s="123"/>
      <c r="N948" s="123"/>
    </row>
    <row r="949" ht="15.75" hidden="1" customHeight="1">
      <c r="B949" s="123"/>
      <c r="D949" s="123"/>
      <c r="F949" s="123"/>
      <c r="H949" s="123"/>
      <c r="J949" s="123"/>
      <c r="L949" s="123"/>
      <c r="N949" s="123"/>
    </row>
    <row r="950" ht="15.75" hidden="1" customHeight="1">
      <c r="B950" s="123"/>
      <c r="D950" s="123"/>
      <c r="F950" s="123"/>
      <c r="H950" s="123"/>
      <c r="J950" s="123"/>
      <c r="L950" s="123"/>
      <c r="N950" s="123"/>
    </row>
    <row r="951" ht="15.75" hidden="1" customHeight="1">
      <c r="B951" s="123"/>
      <c r="D951" s="123"/>
      <c r="F951" s="123"/>
      <c r="H951" s="123"/>
      <c r="J951" s="123"/>
      <c r="L951" s="123"/>
      <c r="N951" s="123"/>
    </row>
    <row r="952" ht="15.75" hidden="1" customHeight="1">
      <c r="B952" s="123"/>
      <c r="D952" s="123"/>
      <c r="F952" s="123"/>
      <c r="H952" s="123"/>
      <c r="J952" s="123"/>
      <c r="L952" s="123"/>
      <c r="N952" s="123"/>
    </row>
    <row r="953" ht="15.75" hidden="1" customHeight="1">
      <c r="B953" s="123"/>
      <c r="D953" s="123"/>
      <c r="F953" s="123"/>
      <c r="H953" s="123"/>
      <c r="J953" s="123"/>
      <c r="L953" s="123"/>
      <c r="N953" s="123"/>
    </row>
    <row r="954" ht="15.75" hidden="1" customHeight="1">
      <c r="B954" s="123"/>
      <c r="D954" s="123"/>
      <c r="F954" s="123"/>
      <c r="H954" s="123"/>
      <c r="J954" s="123"/>
      <c r="L954" s="123"/>
      <c r="N954" s="123"/>
    </row>
    <row r="955" ht="15.75" hidden="1" customHeight="1">
      <c r="B955" s="123"/>
      <c r="D955" s="123"/>
      <c r="F955" s="123"/>
      <c r="H955" s="123"/>
      <c r="J955" s="123"/>
      <c r="L955" s="123"/>
      <c r="N955" s="123"/>
    </row>
    <row r="956" ht="15.75" hidden="1" customHeight="1">
      <c r="B956" s="123"/>
      <c r="D956" s="123"/>
      <c r="F956" s="123"/>
      <c r="H956" s="123"/>
      <c r="J956" s="123"/>
      <c r="L956" s="123"/>
      <c r="N956" s="123"/>
    </row>
    <row r="957" ht="15.75" hidden="1" customHeight="1">
      <c r="B957" s="123"/>
      <c r="D957" s="123"/>
      <c r="F957" s="123"/>
      <c r="H957" s="123"/>
      <c r="J957" s="123"/>
      <c r="L957" s="123"/>
      <c r="N957" s="123"/>
    </row>
    <row r="958" ht="15.75" hidden="1" customHeight="1">
      <c r="B958" s="123"/>
      <c r="D958" s="123"/>
      <c r="F958" s="123"/>
      <c r="H958" s="123"/>
      <c r="J958" s="123"/>
      <c r="L958" s="123"/>
      <c r="N958" s="123"/>
    </row>
    <row r="959" ht="15.75" hidden="1" customHeight="1">
      <c r="B959" s="123"/>
      <c r="D959" s="123"/>
      <c r="F959" s="123"/>
      <c r="H959" s="123"/>
      <c r="J959" s="123"/>
      <c r="L959" s="123"/>
      <c r="N959" s="123"/>
    </row>
    <row r="960" ht="15.75" hidden="1" customHeight="1">
      <c r="B960" s="123"/>
      <c r="D960" s="123"/>
      <c r="F960" s="123"/>
      <c r="H960" s="123"/>
      <c r="J960" s="123"/>
      <c r="L960" s="123"/>
      <c r="N960" s="123"/>
    </row>
    <row r="961" ht="15.75" hidden="1" customHeight="1">
      <c r="B961" s="123"/>
      <c r="D961" s="123"/>
      <c r="F961" s="123"/>
      <c r="H961" s="123"/>
      <c r="J961" s="123"/>
      <c r="L961" s="123"/>
      <c r="N961" s="123"/>
    </row>
    <row r="962" ht="15.75" hidden="1" customHeight="1">
      <c r="B962" s="123"/>
      <c r="D962" s="123"/>
      <c r="F962" s="123"/>
      <c r="H962" s="123"/>
      <c r="J962" s="123"/>
      <c r="L962" s="123"/>
      <c r="N962" s="123"/>
    </row>
    <row r="963" ht="15.75" hidden="1" customHeight="1">
      <c r="B963" s="123"/>
      <c r="D963" s="123"/>
      <c r="F963" s="123"/>
      <c r="H963" s="123"/>
      <c r="J963" s="123"/>
      <c r="L963" s="123"/>
      <c r="N963" s="123"/>
    </row>
    <row r="964" ht="15.75" hidden="1" customHeight="1">
      <c r="B964" s="123"/>
      <c r="D964" s="123"/>
      <c r="F964" s="123"/>
      <c r="H964" s="123"/>
      <c r="J964" s="123"/>
      <c r="L964" s="123"/>
      <c r="N964" s="123"/>
    </row>
    <row r="965" ht="15.75" hidden="1" customHeight="1">
      <c r="B965" s="123"/>
      <c r="D965" s="123"/>
      <c r="F965" s="123"/>
      <c r="H965" s="123"/>
      <c r="J965" s="123"/>
      <c r="L965" s="123"/>
      <c r="N965" s="123"/>
    </row>
    <row r="966" ht="15.75" hidden="1" customHeight="1">
      <c r="B966" s="123"/>
      <c r="D966" s="123"/>
      <c r="F966" s="123"/>
      <c r="H966" s="123"/>
      <c r="J966" s="123"/>
      <c r="L966" s="123"/>
      <c r="N966" s="123"/>
    </row>
    <row r="967" ht="15.75" hidden="1" customHeight="1">
      <c r="B967" s="123"/>
      <c r="D967" s="123"/>
      <c r="F967" s="123"/>
      <c r="H967" s="123"/>
      <c r="J967" s="123"/>
      <c r="L967" s="123"/>
      <c r="N967" s="123"/>
    </row>
    <row r="968" ht="15.75" hidden="1" customHeight="1">
      <c r="B968" s="123"/>
      <c r="D968" s="123"/>
      <c r="F968" s="123"/>
      <c r="H968" s="123"/>
      <c r="J968" s="123"/>
      <c r="L968" s="123"/>
      <c r="N968" s="123"/>
    </row>
    <row r="969" ht="15.75" hidden="1" customHeight="1">
      <c r="B969" s="123"/>
      <c r="D969" s="123"/>
      <c r="F969" s="123"/>
      <c r="H969" s="123"/>
      <c r="J969" s="123"/>
      <c r="L969" s="123"/>
      <c r="N969" s="123"/>
    </row>
    <row r="970" ht="15.75" hidden="1" customHeight="1">
      <c r="B970" s="123"/>
      <c r="D970" s="123"/>
      <c r="F970" s="123"/>
      <c r="H970" s="123"/>
      <c r="J970" s="123"/>
      <c r="L970" s="123"/>
      <c r="N970" s="123"/>
    </row>
    <row r="971" ht="15.75" hidden="1" customHeight="1">
      <c r="B971" s="123"/>
      <c r="D971" s="123"/>
      <c r="F971" s="123"/>
      <c r="H971" s="123"/>
      <c r="J971" s="123"/>
      <c r="L971" s="123"/>
      <c r="N971" s="123"/>
    </row>
    <row r="972" ht="15.75" hidden="1" customHeight="1">
      <c r="B972" s="123"/>
      <c r="D972" s="123"/>
      <c r="F972" s="123"/>
      <c r="H972" s="123"/>
      <c r="J972" s="123"/>
      <c r="L972" s="123"/>
      <c r="N972" s="123"/>
    </row>
    <row r="973" ht="15.75" hidden="1" customHeight="1">
      <c r="B973" s="123"/>
      <c r="D973" s="123"/>
      <c r="F973" s="123"/>
      <c r="H973" s="123"/>
      <c r="J973" s="123"/>
      <c r="L973" s="123"/>
      <c r="N973" s="123"/>
    </row>
    <row r="974" ht="15.75" hidden="1" customHeight="1">
      <c r="B974" s="123"/>
      <c r="D974" s="123"/>
      <c r="F974" s="123"/>
      <c r="H974" s="123"/>
      <c r="J974" s="123"/>
      <c r="L974" s="123"/>
      <c r="N974" s="123"/>
    </row>
    <row r="975" ht="15.75" hidden="1" customHeight="1">
      <c r="B975" s="123"/>
      <c r="D975" s="123"/>
      <c r="F975" s="123"/>
      <c r="H975" s="123"/>
      <c r="J975" s="123"/>
      <c r="L975" s="123"/>
      <c r="N975" s="123"/>
    </row>
    <row r="976" ht="15.75" hidden="1" customHeight="1">
      <c r="B976" s="123"/>
      <c r="D976" s="123"/>
      <c r="F976" s="123"/>
      <c r="H976" s="123"/>
      <c r="J976" s="123"/>
      <c r="L976" s="123"/>
      <c r="N976" s="123"/>
    </row>
    <row r="977" ht="15.75" hidden="1" customHeight="1">
      <c r="B977" s="123"/>
      <c r="D977" s="123"/>
      <c r="F977" s="123"/>
      <c r="H977" s="123"/>
      <c r="J977" s="123"/>
      <c r="L977" s="123"/>
      <c r="N977" s="123"/>
    </row>
    <row r="978" ht="15.75" hidden="1" customHeight="1">
      <c r="B978" s="123"/>
      <c r="D978" s="123"/>
      <c r="F978" s="123"/>
      <c r="H978" s="123"/>
      <c r="J978" s="123"/>
      <c r="L978" s="123"/>
      <c r="N978" s="123"/>
    </row>
    <row r="979" ht="15.75" hidden="1" customHeight="1">
      <c r="B979" s="123"/>
      <c r="D979" s="123"/>
      <c r="F979" s="123"/>
      <c r="H979" s="123"/>
      <c r="J979" s="123"/>
      <c r="L979" s="123"/>
      <c r="N979" s="123"/>
    </row>
    <row r="980" ht="15.75" hidden="1" customHeight="1">
      <c r="B980" s="123"/>
      <c r="D980" s="123"/>
      <c r="F980" s="123"/>
      <c r="H980" s="123"/>
      <c r="J980" s="123"/>
      <c r="L980" s="123"/>
      <c r="N980" s="123"/>
    </row>
    <row r="981" ht="15.75" hidden="1" customHeight="1">
      <c r="B981" s="123"/>
      <c r="D981" s="123"/>
      <c r="F981" s="123"/>
      <c r="H981" s="123"/>
      <c r="J981" s="123"/>
      <c r="L981" s="123"/>
      <c r="N981" s="123"/>
    </row>
    <row r="982" ht="15.75" hidden="1" customHeight="1">
      <c r="B982" s="123"/>
      <c r="D982" s="123"/>
      <c r="F982" s="123"/>
      <c r="H982" s="123"/>
      <c r="J982" s="123"/>
      <c r="L982" s="123"/>
      <c r="N982" s="123"/>
    </row>
    <row r="983" ht="15.75" hidden="1" customHeight="1">
      <c r="B983" s="123"/>
      <c r="D983" s="123"/>
      <c r="F983" s="123"/>
      <c r="H983" s="123"/>
      <c r="J983" s="123"/>
      <c r="L983" s="123"/>
      <c r="N983" s="123"/>
    </row>
    <row r="984" ht="15.75" hidden="1" customHeight="1">
      <c r="B984" s="123"/>
      <c r="D984" s="123"/>
      <c r="F984" s="123"/>
      <c r="H984" s="123"/>
      <c r="J984" s="123"/>
      <c r="L984" s="123"/>
      <c r="N984" s="123"/>
    </row>
    <row r="985" ht="15.75" hidden="1" customHeight="1">
      <c r="B985" s="123"/>
      <c r="D985" s="123"/>
      <c r="F985" s="123"/>
      <c r="H985" s="123"/>
      <c r="J985" s="123"/>
      <c r="L985" s="123"/>
      <c r="N985" s="123"/>
    </row>
    <row r="986" ht="15.75" hidden="1" customHeight="1">
      <c r="B986" s="123"/>
      <c r="D986" s="123"/>
      <c r="F986" s="123"/>
      <c r="H986" s="123"/>
      <c r="J986" s="123"/>
      <c r="L986" s="123"/>
      <c r="N986" s="123"/>
    </row>
    <row r="987" ht="15.75" hidden="1" customHeight="1">
      <c r="B987" s="123"/>
      <c r="D987" s="123"/>
      <c r="F987" s="123"/>
      <c r="H987" s="123"/>
      <c r="J987" s="123"/>
      <c r="L987" s="123"/>
      <c r="N987" s="123"/>
    </row>
    <row r="988" ht="15.75" hidden="1" customHeight="1">
      <c r="B988" s="123"/>
      <c r="D988" s="123"/>
      <c r="F988" s="123"/>
      <c r="H988" s="123"/>
      <c r="J988" s="123"/>
      <c r="L988" s="123"/>
      <c r="N988" s="123"/>
    </row>
    <row r="989" ht="15.75" hidden="1" customHeight="1">
      <c r="B989" s="123"/>
      <c r="D989" s="123"/>
      <c r="F989" s="123"/>
      <c r="H989" s="123"/>
      <c r="J989" s="123"/>
      <c r="L989" s="123"/>
      <c r="N989" s="123"/>
    </row>
    <row r="990" ht="15.75" hidden="1" customHeight="1">
      <c r="B990" s="123"/>
      <c r="D990" s="123"/>
      <c r="F990" s="123"/>
      <c r="H990" s="123"/>
      <c r="J990" s="123"/>
      <c r="L990" s="123"/>
      <c r="N990" s="123"/>
    </row>
    <row r="991" ht="15.75" hidden="1" customHeight="1">
      <c r="B991" s="123"/>
      <c r="D991" s="123"/>
      <c r="F991" s="123"/>
      <c r="H991" s="123"/>
      <c r="J991" s="123"/>
      <c r="L991" s="123"/>
      <c r="N991" s="123"/>
    </row>
    <row r="992" ht="15.75" hidden="1" customHeight="1">
      <c r="B992" s="123"/>
      <c r="D992" s="123"/>
      <c r="F992" s="123"/>
      <c r="H992" s="123"/>
      <c r="J992" s="123"/>
      <c r="L992" s="123"/>
      <c r="N992" s="123"/>
    </row>
    <row r="993" ht="15.75" hidden="1" customHeight="1">
      <c r="B993" s="123"/>
      <c r="D993" s="123"/>
      <c r="F993" s="123"/>
      <c r="H993" s="123"/>
      <c r="J993" s="123"/>
      <c r="L993" s="123"/>
      <c r="N993" s="123"/>
    </row>
    <row r="994" ht="15.75" hidden="1" customHeight="1">
      <c r="B994" s="123"/>
      <c r="D994" s="123"/>
      <c r="F994" s="123"/>
      <c r="H994" s="123"/>
      <c r="J994" s="123"/>
      <c r="L994" s="123"/>
      <c r="N994" s="123"/>
    </row>
    <row r="995" ht="15.75" hidden="1" customHeight="1">
      <c r="B995" s="123"/>
      <c r="D995" s="123"/>
      <c r="F995" s="123"/>
      <c r="H995" s="123"/>
      <c r="J995" s="123"/>
      <c r="L995" s="123"/>
      <c r="N995" s="123"/>
    </row>
    <row r="996" ht="15.75" hidden="1" customHeight="1">
      <c r="B996" s="123"/>
      <c r="D996" s="123"/>
      <c r="F996" s="123"/>
      <c r="H996" s="123"/>
      <c r="J996" s="123"/>
      <c r="L996" s="123"/>
      <c r="N996" s="123"/>
    </row>
    <row r="997" ht="15.75" hidden="1" customHeight="1">
      <c r="B997" s="123"/>
      <c r="D997" s="123"/>
      <c r="F997" s="123"/>
      <c r="H997" s="123"/>
      <c r="J997" s="123"/>
      <c r="L997" s="123"/>
      <c r="N997" s="123"/>
    </row>
    <row r="998" ht="15.75" hidden="1" customHeight="1">
      <c r="B998" s="123"/>
      <c r="D998" s="123"/>
      <c r="F998" s="123"/>
      <c r="H998" s="123"/>
      <c r="J998" s="123"/>
      <c r="L998" s="123"/>
      <c r="N998" s="123"/>
    </row>
    <row r="999" ht="15.75" hidden="1" customHeight="1">
      <c r="B999" s="123"/>
      <c r="D999" s="123"/>
      <c r="F999" s="123"/>
      <c r="H999" s="123"/>
      <c r="J999" s="123"/>
      <c r="L999" s="123"/>
      <c r="N999" s="123"/>
    </row>
    <row r="1000" ht="15.75" hidden="1" customHeight="1">
      <c r="B1000" s="123"/>
      <c r="D1000" s="123"/>
      <c r="F1000" s="123"/>
      <c r="H1000" s="123"/>
      <c r="J1000" s="123"/>
      <c r="L1000" s="123"/>
      <c r="N1000" s="123"/>
    </row>
  </sheetData>
  <mergeCells count="81">
    <mergeCell ref="M3:M5"/>
    <mergeCell ref="O3:O5"/>
    <mergeCell ref="M6:M8"/>
    <mergeCell ref="O6:O8"/>
    <mergeCell ref="M9:M11"/>
    <mergeCell ref="O9:O11"/>
    <mergeCell ref="M12:M14"/>
    <mergeCell ref="O12:O14"/>
    <mergeCell ref="O15:O17"/>
    <mergeCell ref="G15:G17"/>
    <mergeCell ref="G18:G20"/>
    <mergeCell ref="G21:G23"/>
    <mergeCell ref="G3:G5"/>
    <mergeCell ref="G6:G8"/>
    <mergeCell ref="G9:G11"/>
    <mergeCell ref="I9:I11"/>
    <mergeCell ref="G12:G14"/>
    <mergeCell ref="I12:I14"/>
    <mergeCell ref="I15:I17"/>
    <mergeCell ref="C3:C5"/>
    <mergeCell ref="C6:C8"/>
    <mergeCell ref="A9:A11"/>
    <mergeCell ref="C9:C11"/>
    <mergeCell ref="E9:E11"/>
    <mergeCell ref="C12:C14"/>
    <mergeCell ref="E12:E14"/>
    <mergeCell ref="A12:A14"/>
    <mergeCell ref="A15:A17"/>
    <mergeCell ref="C15:C17"/>
    <mergeCell ref="E15:E17"/>
    <mergeCell ref="A18:A20"/>
    <mergeCell ref="E18:E20"/>
    <mergeCell ref="E21:E23"/>
    <mergeCell ref="O24:O26"/>
    <mergeCell ref="O27:O29"/>
    <mergeCell ref="M15:M17"/>
    <mergeCell ref="M18:M20"/>
    <mergeCell ref="O18:O20"/>
    <mergeCell ref="M21:M23"/>
    <mergeCell ref="O21:O23"/>
    <mergeCell ref="M24:M26"/>
    <mergeCell ref="M27:M29"/>
    <mergeCell ref="B1:O1"/>
    <mergeCell ref="A3:A5"/>
    <mergeCell ref="E3:E5"/>
    <mergeCell ref="I3:I5"/>
    <mergeCell ref="A6:A8"/>
    <mergeCell ref="E6:E8"/>
    <mergeCell ref="I6:I8"/>
    <mergeCell ref="C18:C20"/>
    <mergeCell ref="C21:C23"/>
    <mergeCell ref="C24:C26"/>
    <mergeCell ref="C27:C29"/>
    <mergeCell ref="C30:C32"/>
    <mergeCell ref="I18:I20"/>
    <mergeCell ref="I21:I23"/>
    <mergeCell ref="G24:G26"/>
    <mergeCell ref="I24:I26"/>
    <mergeCell ref="G27:G29"/>
    <mergeCell ref="I27:I29"/>
    <mergeCell ref="G30:G32"/>
    <mergeCell ref="I30:I32"/>
    <mergeCell ref="A21:A23"/>
    <mergeCell ref="A24:A26"/>
    <mergeCell ref="A27:A29"/>
    <mergeCell ref="A30:A32"/>
    <mergeCell ref="E24:E26"/>
    <mergeCell ref="E27:E29"/>
    <mergeCell ref="E30:E32"/>
    <mergeCell ref="K24:K26"/>
    <mergeCell ref="K27:K29"/>
    <mergeCell ref="K30:K32"/>
    <mergeCell ref="M30:M32"/>
    <mergeCell ref="O30:O32"/>
    <mergeCell ref="K3:K5"/>
    <mergeCell ref="K6:K8"/>
    <mergeCell ref="K9:K11"/>
    <mergeCell ref="K12:K14"/>
    <mergeCell ref="K15:K17"/>
    <mergeCell ref="K18:K20"/>
    <mergeCell ref="K21:K23"/>
  </mergeCells>
  <drawing r:id="rId1"/>
</worksheet>
</file>